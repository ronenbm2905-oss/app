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יכום פערים" sheetId="1" state="visible" r:id="rId1"/>
    <sheet name="רווח והפסד" sheetId="2" state="visible" r:id="rId2"/>
    <sheet name="התאמת שכר" sheetId="3" state="visible" r:id="rId3"/>
    <sheet name="מעקב תשלומים" sheetId="4" state="visible" r:id="rId4"/>
    <sheet name="פילוח הוצאות" sheetId="5" state="visible" r:id="rId5"/>
    <sheet name="שאלות למנה&quot;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%"/>
  </numFmts>
  <fonts count="24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666666"/>
      <sz val="10"/>
    </font>
    <font>
      <name val="Arial"/>
      <color rgb="00555555"/>
      <sz val="9"/>
    </font>
    <font>
      <name val="Arial"/>
      <b val="1"/>
      <color rgb="001F3864"/>
      <sz val="14"/>
    </font>
    <font>
      <name val="Arial"/>
      <b val="1"/>
      <color rgb="00C00000"/>
      <sz val="11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color rgb="00333333"/>
      <sz val="10"/>
    </font>
    <font>
      <name val="Arial"/>
      <color rgb="00000000"/>
      <sz val="11"/>
    </font>
    <font>
      <name val="Arial"/>
      <b val="1"/>
      <color rgb="009C5700"/>
      <sz val="11"/>
    </font>
    <font>
      <name val="Arial"/>
      <b val="1"/>
      <color rgb="001F3864"/>
      <sz val="12"/>
    </font>
    <font>
      <name val="Arial"/>
      <b val="1"/>
      <color rgb="00555555"/>
      <sz val="11"/>
    </font>
    <font>
      <name val="Arial"/>
      <color rgb="00888888"/>
      <sz val="10"/>
    </font>
    <font>
      <name val="Arial"/>
      <color rgb="00C00000"/>
      <sz val="11"/>
    </font>
    <font>
      <name val="Arial"/>
      <color rgb="00666666"/>
      <sz val="10"/>
    </font>
    <font>
      <name val="Arial"/>
      <b val="1"/>
      <color rgb="00000000"/>
      <sz val="12"/>
    </font>
    <font>
      <name val="Arial"/>
      <b val="1"/>
      <color rgb="00C00000"/>
      <sz val="10"/>
    </font>
    <font>
      <name val="Arial"/>
      <b val="1"/>
      <color rgb="00C00000"/>
      <sz val="12"/>
    </font>
    <font>
      <name val="Arial"/>
      <i val="1"/>
      <color rgb="009C5700"/>
      <sz val="11"/>
    </font>
    <font>
      <name val="Arial"/>
      <b val="1"/>
      <color rgb="00666666"/>
      <sz val="10"/>
    </font>
    <font>
      <name val="Arial"/>
      <b val="1"/>
      <color rgb="001F3864"/>
      <sz val="11"/>
    </font>
    <font>
      <name val="Arial"/>
      <b val="1"/>
      <color rgb="009C5700"/>
      <sz val="10"/>
    </font>
    <font>
      <name val="Arial"/>
      <i val="1"/>
      <color rgb="00999999"/>
      <sz val="10"/>
    </font>
  </fonts>
  <fills count="11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FFFF00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9C5700"/>
      </patternFill>
    </fill>
    <fill>
      <patternFill patternType="solid">
        <fgColor rgb="00555555"/>
      </patternFill>
    </fill>
    <fill>
      <patternFill patternType="solid">
        <fgColor rgb="00FFF4E0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164" fontId="4" fillId="2" borderId="1" applyAlignment="1" pivotButton="0" quotePrefix="0" xfId="0">
      <alignment horizontal="center"/>
    </xf>
    <xf numFmtId="165" fontId="4" fillId="2" borderId="1" applyAlignment="1" pivotButton="0" quotePrefix="0" xfId="0">
      <alignment horizont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7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 wrapText="1"/>
    </xf>
    <xf numFmtId="164" fontId="7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 vertical="center" wrapText="1"/>
    </xf>
    <xf numFmtId="0" fontId="10" fillId="0" borderId="1" applyAlignment="1" pivotButton="0" quotePrefix="0" xfId="0">
      <alignment horizontal="center" vertical="center"/>
    </xf>
    <xf numFmtId="0" fontId="0" fillId="7" borderId="1" pivotButton="0" quotePrefix="0" xfId="0"/>
    <xf numFmtId="0" fontId="7" fillId="7" borderId="1" pivotButton="0" quotePrefix="0" xfId="0"/>
    <xf numFmtId="164" fontId="11" fillId="7" borderId="1" applyAlignment="1" pivotButton="0" quotePrefix="0" xfId="0">
      <alignment horizontal="right"/>
    </xf>
    <xf numFmtId="0" fontId="6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12" fillId="0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right" vertical="center"/>
    </xf>
    <xf numFmtId="0" fontId="0" fillId="9" borderId="1" pivotButton="0" quotePrefix="0" xfId="0"/>
    <xf numFmtId="0" fontId="13" fillId="0" borderId="1" applyAlignment="1" pivotButton="0" quotePrefix="0" xfId="0">
      <alignment horizontal="center"/>
    </xf>
    <xf numFmtId="0" fontId="9" fillId="0" borderId="1" pivotButton="0" quotePrefix="0" xfId="0"/>
    <xf numFmtId="164" fontId="9" fillId="0" borderId="1" applyAlignment="1" pivotButton="0" quotePrefix="0" xfId="0">
      <alignment horizontal="right"/>
    </xf>
    <xf numFmtId="164" fontId="14" fillId="0" borderId="1" pivotButton="0" quotePrefix="0" xfId="0"/>
    <xf numFmtId="0" fontId="15" fillId="0" borderId="1" applyAlignment="1" pivotButton="0" quotePrefix="0" xfId="0">
      <alignment horizontal="right" vertical="center" wrapText="1"/>
    </xf>
    <xf numFmtId="0" fontId="13" fillId="2" borderId="1" applyAlignment="1" pivotButton="0" quotePrefix="0" xfId="0">
      <alignment horizontal="center"/>
    </xf>
    <xf numFmtId="0" fontId="7" fillId="2" borderId="1" pivotButton="0" quotePrefix="0" xfId="0"/>
    <xf numFmtId="164" fontId="7" fillId="2" borderId="1" applyAlignment="1" pivotButton="0" quotePrefix="0" xfId="0">
      <alignment horizontal="right"/>
    </xf>
    <xf numFmtId="164" fontId="5" fillId="2" borderId="1" pivotButton="0" quotePrefix="0" xfId="0"/>
    <xf numFmtId="0" fontId="15" fillId="2" borderId="1" applyAlignment="1" pivotButton="0" quotePrefix="0" xfId="0">
      <alignment horizontal="right" vertical="center" wrapText="1"/>
    </xf>
    <xf numFmtId="0" fontId="13" fillId="7" borderId="1" applyAlignment="1" pivotButton="0" quotePrefix="0" xfId="0">
      <alignment horizontal="center"/>
    </xf>
    <xf numFmtId="164" fontId="7" fillId="7" borderId="1" applyAlignment="1" pivotButton="0" quotePrefix="0" xfId="0">
      <alignment horizontal="right"/>
    </xf>
    <xf numFmtId="164" fontId="5" fillId="7" borderId="1" pivotButton="0" quotePrefix="0" xfId="0"/>
    <xf numFmtId="0" fontId="15" fillId="7" borderId="1" applyAlignment="1" pivotButton="0" quotePrefix="0" xfId="0">
      <alignment horizontal="right" vertical="center" wrapText="1"/>
    </xf>
    <xf numFmtId="0" fontId="0" fillId="0" borderId="1" pivotButton="0" quotePrefix="0" xfId="0"/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0" fontId="11" fillId="0" borderId="0" pivotButton="0" quotePrefix="0" xfId="0"/>
    <xf numFmtId="164" fontId="7" fillId="0" borderId="1" pivotButton="0" quotePrefix="0" xfId="0"/>
    <xf numFmtId="0" fontId="2" fillId="0" borderId="1" pivotButton="0" quotePrefix="0" xfId="0"/>
    <xf numFmtId="164" fontId="14" fillId="5" borderId="1" pivotButton="0" quotePrefix="0" xfId="0"/>
    <xf numFmtId="0" fontId="7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16" fillId="7" borderId="1" pivotButton="0" quotePrefix="0" xfId="0"/>
    <xf numFmtId="164" fontId="16" fillId="7" borderId="1" applyAlignment="1" pivotButton="0" quotePrefix="0" xfId="0">
      <alignment horizontal="right"/>
    </xf>
    <xf numFmtId="0" fontId="17" fillId="7" borderId="1" pivotButton="0" quotePrefix="0" xfId="0"/>
    <xf numFmtId="164" fontId="9" fillId="0" borderId="1" pivotButton="0" quotePrefix="0" xfId="0"/>
    <xf numFmtId="0" fontId="0" fillId="2" borderId="1" pivotButton="0" quotePrefix="0" xfId="0"/>
    <xf numFmtId="164" fontId="7" fillId="2" borderId="1" pivotButton="0" quotePrefix="0" xfId="0"/>
    <xf numFmtId="164" fontId="16" fillId="7" borderId="1" pivotButton="0" quotePrefix="0" xfId="0"/>
    <xf numFmtId="164" fontId="18" fillId="7" borderId="1" pivotButton="0" quotePrefix="0" xfId="0"/>
    <xf numFmtId="0" fontId="5" fillId="7" borderId="1" pivotButton="0" quotePrefix="0" xfId="0"/>
    <xf numFmtId="164" fontId="5" fillId="0" borderId="1" pivotButton="0" quotePrefix="0" xfId="0"/>
    <xf numFmtId="0" fontId="0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4" fontId="11" fillId="0" borderId="1" pivotButton="0" quotePrefix="0" xfId="0"/>
    <xf numFmtId="164" fontId="18" fillId="0" borderId="1" pivotButton="0" quotePrefix="0" xfId="0"/>
    <xf numFmtId="0" fontId="19" fillId="0" borderId="0" pivotButton="0" quotePrefix="0" xfId="0"/>
    <xf numFmtId="0" fontId="15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165" fontId="16" fillId="7" borderId="1" applyAlignment="1" pivotButton="0" quotePrefix="0" xfId="0">
      <alignment horizontal="right"/>
    </xf>
    <xf numFmtId="164" fontId="2" fillId="0" borderId="1" pivotButton="0" quotePrefix="0" xfId="0"/>
    <xf numFmtId="164" fontId="20" fillId="0" borderId="1" pivotButton="0" quotePrefix="0" xfId="0"/>
    <xf numFmtId="0" fontId="15" fillId="10" borderId="1" applyAlignment="1" pivotButton="0" quotePrefix="0" xfId="0">
      <alignment horizontal="center" vertical="center"/>
    </xf>
    <xf numFmtId="164" fontId="9" fillId="10" borderId="1" applyAlignment="1" pivotButton="0" quotePrefix="0" xfId="0">
      <alignment horizontal="right" vertical="center"/>
    </xf>
    <xf numFmtId="0" fontId="21" fillId="0" borderId="0" pivotButton="0" quotePrefix="0" xfId="0"/>
    <xf numFmtId="0" fontId="7" fillId="6" borderId="1" applyAlignment="1" pivotButton="0" quotePrefix="0" xfId="0">
      <alignment horizontal="center"/>
    </xf>
    <xf numFmtId="164" fontId="9" fillId="0" borderId="1" applyAlignment="1" pivotButton="0" quotePrefix="0" xfId="0">
      <alignment horizontal="center"/>
    </xf>
    <xf numFmtId="0" fontId="17" fillId="6" borderId="1" applyAlignment="1" pivotButton="0" quotePrefix="0" xfId="0">
      <alignment horizontal="center"/>
    </xf>
    <xf numFmtId="0" fontId="0" fillId="5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0" fontId="22" fillId="0" borderId="1" applyAlignment="1" pivotButton="0" quotePrefix="0" xfId="0">
      <alignment horizontal="center"/>
    </xf>
    <xf numFmtId="0" fontId="2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rightToLeft="1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16" customWidth="1" min="3" max="3"/>
    <col width="13" customWidth="1" min="4" max="4"/>
    <col width="40" customWidth="1" min="5" max="5"/>
    <col width="34" customWidth="1" min="6" max="6"/>
  </cols>
  <sheetData>
    <row r="1" ht="24" customHeight="1">
      <c r="A1" s="1" t="inlineStr">
        <is>
          <t>ויצמן אחזקות (ג.מ.ש) בע"מ — התאמות מאזן בוחן 1–6/2026</t>
        </is>
      </c>
    </row>
    <row r="2">
      <c r="A2" s="2" t="inlineStr">
        <is>
          <t>מקור: 66245423 — מאזן בוחן 06/2026, הופק 15/08/2026 | הופק לצורך בירור מול הנהלת החשבונות</t>
        </is>
      </c>
    </row>
    <row r="4">
      <c r="B4" s="3" t="inlineStr">
        <is>
          <t>הכנסות ברוטו 1–6/2026</t>
        </is>
      </c>
      <c r="C4" s="3" t="inlineStr">
        <is>
          <t>הוצאות 1–6/2026</t>
        </is>
      </c>
      <c r="D4" s="3" t="inlineStr">
        <is>
          <t>רווח מדווח</t>
        </is>
      </c>
      <c r="E4" s="3" t="inlineStr">
        <is>
          <t>שיעור רווח</t>
        </is>
      </c>
    </row>
    <row r="5" ht="22" customHeight="1">
      <c r="B5" s="4" t="n">
        <v>5736781.36</v>
      </c>
      <c r="C5" s="4" t="n">
        <v>5492267.64</v>
      </c>
      <c r="D5" s="4" t="n">
        <v>147065.53</v>
      </c>
      <c r="E5" s="5" t="n">
        <v>0.02563554731672744</v>
      </c>
    </row>
    <row r="7">
      <c r="A7" s="6" t="inlineStr">
        <is>
          <t>רווח של 147,066 ₪ על מחזור של 5.74 מיליון ₪ = שוליים של 2.56%. הסעיפים הפתוחים מטה גדולים ביחס לשורה התחתונה.</t>
        </is>
      </c>
    </row>
    <row r="9" ht="30" customHeight="1">
      <c r="A9" s="7" t="inlineStr">
        <is>
          <t>#</t>
        </is>
      </c>
      <c r="B9" s="7" t="inlineStr">
        <is>
          <t>הממצא</t>
        </is>
      </c>
      <c r="C9" s="7" t="inlineStr">
        <is>
          <t>סכום (₪)</t>
        </is>
      </c>
      <c r="D9" s="7" t="inlineStr">
        <is>
          <t>חומרה</t>
        </is>
      </c>
      <c r="E9" s="7" t="inlineStr">
        <is>
          <t>ההשלכה</t>
        </is>
      </c>
      <c r="F9" s="7" t="inlineStr">
        <is>
          <t>מה צריך לקרות</t>
        </is>
      </c>
    </row>
    <row r="10" ht="20" customHeight="1">
      <c r="A10" s="8" t="inlineStr">
        <is>
          <t>א. משפיע ישירות על התוצאה</t>
        </is>
      </c>
      <c r="B10" s="9" t="n"/>
      <c r="C10" s="9" t="n"/>
      <c r="D10" s="9" t="n"/>
      <c r="E10" s="9" t="n"/>
      <c r="F10" s="9" t="n"/>
    </row>
    <row r="11" ht="30" customHeight="1">
      <c r="A11" s="10" t="n">
        <v>1</v>
      </c>
      <c r="B11" s="11" t="inlineStr">
        <is>
          <t>הוצאות ביטוח של ויצמן מתוך פרומול — חסרות</t>
        </is>
      </c>
      <c r="C11" s="12" t="inlineStr">
        <is>
          <t>לא כומת</t>
        </is>
      </c>
      <c r="D11" s="13" t="inlineStr">
        <is>
          <t>חוסם</t>
        </is>
      </c>
      <c r="E11" s="14" t="inlineStr">
        <is>
          <t>לא כומת. הרווח כולו עומד על 147,066 ₪.</t>
        </is>
      </c>
      <c r="F11" s="14" t="inlineStr">
        <is>
          <t>לכמת את הסכום ולהכניס להפרשה</t>
        </is>
      </c>
    </row>
    <row r="12" ht="30" customHeight="1">
      <c r="A12" s="15" t="n">
        <v>2</v>
      </c>
      <c r="B12" s="11" t="inlineStr">
        <is>
          <t>שתי גרסאות שכר → חשבונית משלימה שונה</t>
        </is>
      </c>
      <c r="C12" s="16" t="n">
        <v>5564.08</v>
      </c>
      <c r="D12" s="17" t="inlineStr">
        <is>
          <t>גבוה</t>
        </is>
      </c>
      <c r="E12" s="14" t="inlineStr">
        <is>
          <t>בספרים נרשמה ההפרשה הנמוכה (18,159.09)</t>
        </is>
      </c>
      <c r="F12" s="14" t="inlineStr">
        <is>
          <t>להכריע איזו גרסה קובעת</t>
        </is>
      </c>
    </row>
    <row r="13" ht="30" customHeight="1">
      <c r="A13" s="15" t="n">
        <v>3</v>
      </c>
      <c r="B13" s="11" t="inlineStr">
        <is>
          <t>פער בין מספרי הכנסות יוני</t>
        </is>
      </c>
      <c r="C13" s="16" t="n">
        <v>7140.1</v>
      </c>
      <c r="D13" s="17" t="inlineStr">
        <is>
          <t>גבוה</t>
        </is>
      </c>
      <c r="E13" s="14" t="inlineStr">
        <is>
          <t>השורה התחתונה זזה בין 147,066 ל‑154,206</t>
        </is>
      </c>
      <c r="F13" s="14" t="inlineStr">
        <is>
          <t>להתאים את שלושת המספרים</t>
        </is>
      </c>
    </row>
    <row r="14" ht="30" customHeight="1">
      <c r="A14" s="15" t="n">
        <v>4</v>
      </c>
      <c r="B14" s="18" t="inlineStr">
        <is>
          <t>הוצאות רכב — הספרים מול גיליון השכר</t>
        </is>
      </c>
      <c r="C14" s="16" t="n">
        <v>7933.5</v>
      </c>
      <c r="D14" s="19" t="inlineStr">
        <is>
          <t>בינוני</t>
        </is>
      </c>
      <c r="E14" s="14" t="inlineStr">
        <is>
          <t>112,604.61 בחשבון 1230201 מול 104,671.11 בגיליון</t>
        </is>
      </c>
      <c r="F14" s="14" t="inlineStr">
        <is>
          <t>להתאים בין המקורות</t>
        </is>
      </c>
    </row>
    <row r="15">
      <c r="A15" s="20" t="n"/>
      <c r="B15" s="21" t="inlineStr">
        <is>
          <t>סה"כ משפיע ישירות על התוצאה</t>
        </is>
      </c>
      <c r="C15" s="22">
        <f>SUM(C11:C14)</f>
        <v>20637.68</v>
      </c>
      <c r="D15" s="20" t="n"/>
      <c r="E15" s="20" t="n"/>
      <c r="F15" s="20" t="n"/>
    </row>
    <row r="17" ht="20" customHeight="1">
      <c r="A17" s="8" t="inlineStr">
        <is>
          <t>ב. תזרים — יתרות פתוחות מול ויצמן</t>
        </is>
      </c>
      <c r="B17" s="9" t="n"/>
      <c r="C17" s="9" t="n"/>
      <c r="D17" s="9" t="n"/>
      <c r="E17" s="9" t="n"/>
      <c r="F17" s="9" t="n"/>
    </row>
    <row r="18" ht="30" customHeight="1">
      <c r="A18" s="10" t="n">
        <v>5</v>
      </c>
      <c r="B18" s="11" t="inlineStr">
        <is>
          <t>מרץ 2026 — לא רשומה שורת תשלום</t>
        </is>
      </c>
      <c r="C18" s="16" t="n">
        <v>221971.75</v>
      </c>
      <c r="D18" s="13" t="inlineStr">
        <is>
          <t>חוסם</t>
        </is>
      </c>
      <c r="E18" s="14" t="inlineStr">
        <is>
          <t>או ששולם ולא תועד, או שקיים חוב פתוח</t>
        </is>
      </c>
      <c r="F18" s="14" t="inlineStr">
        <is>
          <t>לאשר אסמכתת תשלום</t>
        </is>
      </c>
    </row>
    <row r="19" ht="30" customHeight="1">
      <c r="A19" s="15" t="n">
        <v>6</v>
      </c>
      <c r="B19" s="18" t="inlineStr">
        <is>
          <t>יתרת חוב פתוחה מצטברת (ללא מרץ)</t>
        </is>
      </c>
      <c r="C19" s="16" t="n">
        <v>31548.86</v>
      </c>
      <c r="D19" s="19" t="inlineStr">
        <is>
          <t>בינוני</t>
        </is>
      </c>
      <c r="E19" s="14" t="inlineStr">
        <is>
          <t>נובעת מתשלום בסכומים עגולים</t>
        </is>
      </c>
      <c r="F19" s="14" t="inlineStr">
        <is>
          <t>לסגור יתרות ולעבור לתשלום מדויק</t>
        </is>
      </c>
    </row>
    <row r="20">
      <c r="A20" s="20" t="n"/>
      <c r="B20" s="21" t="inlineStr">
        <is>
          <t>סה"כ תזרים — יתרות פתוחות מול ויצמן</t>
        </is>
      </c>
      <c r="C20" s="22">
        <f>SUM(C18:C19)</f>
        <v>253520.61</v>
      </c>
      <c r="D20" s="20" t="n"/>
      <c r="E20" s="20" t="n"/>
      <c r="F20" s="20" t="n"/>
    </row>
    <row r="22" ht="20" customHeight="1">
      <c r="A22" s="23" t="inlineStr">
        <is>
          <t>ג. הצגה וסיווג — ללא השפעה על התוצאה</t>
        </is>
      </c>
      <c r="B22" s="24" t="n"/>
      <c r="C22" s="24" t="n"/>
      <c r="D22" s="24" t="n"/>
      <c r="E22" s="24" t="n"/>
      <c r="F22" s="24" t="n"/>
    </row>
    <row r="23" ht="30" customHeight="1">
      <c r="A23" s="15" t="n">
        <v>7</v>
      </c>
      <c r="B23" s="11" t="inlineStr">
        <is>
          <t>חשבון 1091007 'הכנסות לקבל' בקבוצת ההכנסות</t>
        </is>
      </c>
      <c r="C23" s="16" t="n">
        <v>975566.1</v>
      </c>
      <c r="D23" s="17" t="inlineStr">
        <is>
          <t>גבוה</t>
        </is>
      </c>
      <c r="E23" s="14" t="inlineStr">
        <is>
          <t>מקזז הכנסות ומייצר 'הפסד' מדומה של 731,852 ₪</t>
        </is>
      </c>
      <c r="F23" s="14" t="inlineStr">
        <is>
          <t>להעביר לקבוצה מאזנית (חייבים)</t>
        </is>
      </c>
    </row>
    <row r="24" ht="30" customHeight="1">
      <c r="A24" s="15" t="n">
        <v>8</v>
      </c>
      <c r="B24" s="18" t="inlineStr">
        <is>
          <t>חשבון 1221742 'עבודות חשמל' ביתרת זכות</t>
        </is>
      </c>
      <c r="C24" s="16" t="n">
        <v>1768</v>
      </c>
      <c r="D24" s="19" t="inlineStr">
        <is>
          <t>בינוני</t>
        </is>
      </c>
      <c r="E24" s="14" t="inlineStr">
        <is>
          <t>הוצאה 450 ₪ מול זיכוי 2,218 ₪</t>
        </is>
      </c>
      <c r="F24" s="14" t="inlineStr">
        <is>
          <t>לאתר לאן שייך הזיכוי</t>
        </is>
      </c>
    </row>
    <row r="25" ht="30" customHeight="1">
      <c r="A25" s="15" t="n">
        <v>9</v>
      </c>
      <c r="B25" s="18" t="inlineStr">
        <is>
          <t>יתרת זכות בחשבון גינון</t>
        </is>
      </c>
      <c r="C25" s="16" t="n">
        <v>359</v>
      </c>
      <c r="D25" s="25" t="inlineStr">
        <is>
          <t>נמוך</t>
        </is>
      </c>
      <c r="E25" s="14" t="inlineStr">
        <is>
          <t>יתרת זכות בחשבון הוצאה</t>
        </is>
      </c>
      <c r="F25" s="14" t="inlineStr">
        <is>
          <t>לבדוק</t>
        </is>
      </c>
    </row>
    <row r="26">
      <c r="A26" s="20" t="n"/>
      <c r="B26" s="21" t="inlineStr">
        <is>
          <t>סה"כ הצגה וסיווג — ללא השפעה על התוצאה</t>
        </is>
      </c>
      <c r="C26" s="22">
        <f>SUM(C23:C25)</f>
        <v>977693.1</v>
      </c>
      <c r="D26" s="20" t="n"/>
      <c r="E26" s="20" t="n"/>
      <c r="F26" s="20" t="n"/>
    </row>
    <row r="28" ht="20" customHeight="1">
      <c r="A28" s="26" t="inlineStr">
        <is>
          <t>ד. לבירור — ללא כימות ישיר לתוצאה</t>
        </is>
      </c>
      <c r="B28" s="27" t="n"/>
      <c r="C28" s="27" t="n"/>
      <c r="D28" s="27" t="n"/>
      <c r="E28" s="27" t="n"/>
      <c r="F28" s="27" t="n"/>
    </row>
    <row r="29" ht="30" customHeight="1">
      <c r="A29" s="15" t="n">
        <v>10</v>
      </c>
      <c r="B29" s="18" t="inlineStr">
        <is>
          <t>פער רכב: מערכת השכר מול הגיליון</t>
        </is>
      </c>
      <c r="C29" s="16" t="n">
        <v>4436.93</v>
      </c>
      <c r="D29" s="19" t="inlineStr">
        <is>
          <t>בינוני</t>
        </is>
      </c>
      <c r="E29" s="14" t="inlineStr">
        <is>
          <t>109,108.05 מול 104,671.12 — מסומן בגיליון, לא מוסבר</t>
        </is>
      </c>
      <c r="F29" s="14" t="inlineStr">
        <is>
          <t>להסביר את ההפרש</t>
        </is>
      </c>
    </row>
    <row r="30" ht="30" customHeight="1">
      <c r="A30" s="15" t="n">
        <v>11</v>
      </c>
      <c r="B30" s="18" t="inlineStr">
        <is>
          <t>מקדמה 14,497.43 ₪ — הוזז בפועל 11,964.08 ₪</t>
        </is>
      </c>
      <c r="C30" s="16" t="n">
        <v>2533.35</v>
      </c>
      <c r="D30" s="19" t="inlineStr">
        <is>
          <t>בינוני</t>
        </is>
      </c>
      <c r="E30" s="14" t="inlineStr">
        <is>
          <t>התיקון אינו תואם את סכום המקדמה הרשום</t>
        </is>
      </c>
      <c r="F30" s="14" t="inlineStr">
        <is>
          <t>להסביר את הפער</t>
        </is>
      </c>
    </row>
    <row r="31" ht="30" customHeight="1">
      <c r="A31" s="15" t="n">
        <v>12</v>
      </c>
      <c r="B31" s="18" t="inlineStr">
        <is>
          <t>מאי ויוני זהים אצל בן מאיר דורית</t>
        </is>
      </c>
      <c r="C31" s="16" t="n">
        <v>19286.24</v>
      </c>
      <c r="D31" s="19" t="inlineStr">
        <is>
          <t>בינוני</t>
        </is>
      </c>
      <c r="E31" s="14" t="inlineStr">
        <is>
          <t>נראה שמאי נאמד לפי יוני</t>
        </is>
      </c>
      <c r="F31" s="14" t="inlineStr">
        <is>
          <t>לאשר את נתון מאי בפועל</t>
        </is>
      </c>
    </row>
    <row r="32" ht="30" customHeight="1">
      <c r="A32" s="15" t="n">
        <v>13</v>
      </c>
      <c r="B32" s="18" t="inlineStr">
        <is>
          <t>עבודות אינסטלציה ביוני — הוצאה או השבחה?</t>
        </is>
      </c>
      <c r="C32" s="16" t="n">
        <v>43700</v>
      </c>
      <c r="D32" s="19" t="inlineStr">
        <is>
          <t>בינוני</t>
        </is>
      </c>
      <c r="E32" s="14" t="inlineStr">
        <is>
          <t>43,700 ₪ מתוך 114,767 ₪ מצטבר</t>
        </is>
      </c>
      <c r="F32" s="14" t="inlineStr">
        <is>
          <t>לקבוע אם נדרש היוון</t>
        </is>
      </c>
    </row>
    <row r="33" ht="30" customHeight="1">
      <c r="A33" s="15" t="n">
        <v>14</v>
      </c>
      <c r="B33" s="11" t="inlineStr">
        <is>
          <t>התקבל דף 1 מתוך 9 של מאזן הבוחן</t>
        </is>
      </c>
      <c r="C33" s="12" t="inlineStr">
        <is>
          <t>לא כומת</t>
        </is>
      </c>
      <c r="D33" s="17" t="inlineStr">
        <is>
          <t>גבוה</t>
        </is>
      </c>
      <c r="E33" s="14" t="inlineStr">
        <is>
          <t>כל הצד המאזני חסר</t>
        </is>
      </c>
      <c r="F33" s="14" t="inlineStr">
        <is>
          <t>לבקש את שמונת הדפים החסרים</t>
        </is>
      </c>
    </row>
    <row r="34" ht="30" customHeight="1">
      <c r="A34" s="15" t="n">
        <v>15</v>
      </c>
      <c r="B34" s="11" t="inlineStr">
        <is>
          <t>הדוח אינו מציג פילוח חודשי</t>
        </is>
      </c>
      <c r="C34" s="12" t="inlineStr">
        <is>
          <t>לא כומת</t>
        </is>
      </c>
      <c r="D34" s="17" t="inlineStr">
        <is>
          <t>גבוה</t>
        </is>
      </c>
      <c r="E34" s="14" t="inlineStr">
        <is>
          <t>לא ניתן לזהות עונתיות או חד‑פעמיים</t>
        </is>
      </c>
      <c r="F34" s="14" t="inlineStr">
        <is>
          <t>לבקש דוח רוו"ה בשש עמודות</t>
        </is>
      </c>
    </row>
    <row r="35">
      <c r="A35" s="20" t="n"/>
      <c r="B35" s="21" t="inlineStr">
        <is>
          <t>סה"כ לבירור — ללא כימות ישיר לתוצאה</t>
        </is>
      </c>
      <c r="C35" s="22">
        <f>SUM(C29:C34)</f>
        <v>69956.52</v>
      </c>
      <c r="D35" s="20" t="n"/>
      <c r="E35" s="20" t="n"/>
      <c r="F35" s="20" t="n"/>
    </row>
    <row r="37">
      <c r="B37" s="2" t="inlineStr">
        <is>
          <t>הסכומים אינם מצטברים לתיקון אחד: קטגוריה א' משפיעה על הרווח, ב' על התזרים, ג' על ההצגה בלבד. הביטוח החסר אינו מכומת ואינו נכלל באף סכום.</t>
        </is>
      </c>
    </row>
  </sheetData>
  <mergeCells count="8">
    <mergeCell ref="A2:F2"/>
    <mergeCell ref="A10:F10"/>
    <mergeCell ref="A28:F28"/>
    <mergeCell ref="A1:F1"/>
    <mergeCell ref="B37:F37"/>
    <mergeCell ref="A22:F22"/>
    <mergeCell ref="A17:F17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rightToLeft="1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18" customWidth="1" min="3" max="3"/>
    <col width="18" customWidth="1" min="4" max="4"/>
    <col width="16" customWidth="1" min="5" max="5"/>
    <col width="38" customWidth="1" min="6" max="6"/>
  </cols>
  <sheetData>
    <row r="1" ht="24" customHeight="1">
      <c r="A1" s="1" t="inlineStr">
        <is>
          <t>התאמת רווח והפסד 1–6/2026 — שתי קריאות של אותם נתונים</t>
        </is>
      </c>
    </row>
    <row r="2">
      <c r="A2" s="2" t="inlineStr">
        <is>
          <t>עמודה A = החישוב כפי שהוא מופיע בגיליון. עמודה B = אם חשבון 1091007 מועבר למאזן ואין הוספה ידנית של הכנסות יוני.</t>
        </is>
      </c>
    </row>
    <row r="4" ht="30" customHeight="1">
      <c r="A4" s="7" t="inlineStr">
        <is>
          <t>#</t>
        </is>
      </c>
      <c r="B4" s="7" t="inlineStr">
        <is>
          <t>סעיף</t>
        </is>
      </c>
      <c r="C4" s="7" t="inlineStr">
        <is>
          <t>גרסת מנה"ח (א)</t>
        </is>
      </c>
      <c r="D4" s="7" t="inlineStr">
        <is>
          <t>קריאה חלופית (ב)</t>
        </is>
      </c>
      <c r="E4" s="7" t="inlineStr">
        <is>
          <t>פער</t>
        </is>
      </c>
      <c r="F4" s="7" t="inlineStr">
        <is>
          <t>הערה</t>
        </is>
      </c>
    </row>
    <row r="5">
      <c r="A5" s="28" t="inlineStr">
        <is>
          <t>1010101</t>
        </is>
      </c>
      <c r="B5" s="29" t="inlineStr">
        <is>
          <t>הכנסות מאחזקה בנין</t>
        </is>
      </c>
      <c r="C5" s="30" t="n">
        <v>5736781.36</v>
      </c>
      <c r="D5" s="30" t="n">
        <v>5736781.36</v>
      </c>
      <c r="E5" s="31">
        <f>C5-D5</f>
        <v>0.0</v>
      </c>
      <c r="F5" s="32" t="inlineStr">
        <is>
          <t>תנועה מצטברת בזכות</t>
        </is>
      </c>
    </row>
    <row r="6">
      <c r="A6" s="28" t="inlineStr">
        <is>
          <t>1091007</t>
        </is>
      </c>
      <c r="B6" s="29" t="inlineStr">
        <is>
          <t>הכנסות לקבל דמי ניהול (חובה)</t>
        </is>
      </c>
      <c r="C6" s="30" t="n">
        <v>-975566.1</v>
      </c>
      <c r="D6" s="30" t="n">
        <v>0</v>
      </c>
      <c r="E6" s="31">
        <f>C6-D6</f>
        <v>-975566.1</v>
      </c>
      <c r="F6" s="32" t="inlineStr">
        <is>
          <t>בקריאה ב' מועבר לקבוצה מאזנית — חייבים</t>
        </is>
      </c>
    </row>
    <row r="7">
      <c r="A7" s="33" t="inlineStr"/>
      <c r="B7" s="34" t="inlineStr">
        <is>
          <t>סה"כ הכנסות</t>
        </is>
      </c>
      <c r="C7" s="35">
        <f>SUM(C5:C6)</f>
        <v>4761215.260000001</v>
      </c>
      <c r="D7" s="35">
        <f>SUM(D5:D6)</f>
        <v>5736781.36</v>
      </c>
      <c r="E7" s="36">
        <f>C7-D7</f>
        <v>-975566.0999999996</v>
      </c>
      <c r="F7" s="37" t="inlineStr"/>
    </row>
    <row r="8">
      <c r="A8" s="28" t="inlineStr">
        <is>
          <t>12</t>
        </is>
      </c>
      <c r="B8" s="29" t="inlineStr">
        <is>
          <t>הוצאות בניין (מצטבר, נטו)</t>
        </is>
      </c>
      <c r="C8" s="30" t="n">
        <v>-5492267.64</v>
      </c>
      <c r="D8" s="30" t="n">
        <v>-5492267.64</v>
      </c>
      <c r="E8" s="31">
        <f>C8-D8</f>
        <v>0.0</v>
      </c>
      <c r="F8" s="32" t="inlineStr">
        <is>
          <t>5,494,849.74 חובה בניכוי 2,582.10 זכות</t>
        </is>
      </c>
    </row>
    <row r="9">
      <c r="A9" s="28" t="inlineStr">
        <is>
          <t>1510135</t>
        </is>
      </c>
      <c r="B9" s="29" t="inlineStr">
        <is>
          <t>שי ומתנות</t>
        </is>
      </c>
      <c r="C9" s="30" t="n">
        <v>-800</v>
      </c>
      <c r="D9" s="30" t="n">
        <v>-800</v>
      </c>
      <c r="E9" s="31">
        <f>C9-D9</f>
        <v>0.0</v>
      </c>
      <c r="F9" s="32" t="inlineStr"/>
    </row>
    <row r="10">
      <c r="A10" s="33" t="inlineStr"/>
      <c r="B10" s="34" t="inlineStr">
        <is>
          <t>תוצאה לפי מאזן הבוחן</t>
        </is>
      </c>
      <c r="C10" s="35">
        <f>C7+C8+C9</f>
        <v>-731852.379999999</v>
      </c>
      <c r="D10" s="35">
        <f>D7+D8+D9</f>
        <v>243713.72000000067</v>
      </c>
      <c r="E10" s="36">
        <f>C10-D10</f>
        <v>-975566.0999999996</v>
      </c>
      <c r="F10" s="37" t="inlineStr">
        <is>
          <t>בקריאה א' נוצר 'הפסד' מדומה</t>
        </is>
      </c>
    </row>
    <row r="12"/>
    <row r="13">
      <c r="A13" s="28" t="inlineStr"/>
      <c r="B13" s="29" t="inlineStr">
        <is>
          <t>הכנסות חודש 06/2026</t>
        </is>
      </c>
      <c r="C13" s="30" t="n">
        <v>968426</v>
      </c>
      <c r="D13" s="30" t="n">
        <v>0</v>
      </c>
      <c r="E13" s="31">
        <f>C13-D13</f>
        <v>968426.0</v>
      </c>
      <c r="F13" s="32" t="inlineStr">
        <is>
          <t>בקריאה ב' מיותר — יוני כבר רשום ב‑1010101</t>
        </is>
      </c>
    </row>
    <row r="14">
      <c r="A14" s="28" t="inlineStr"/>
      <c r="B14" s="29" t="inlineStr">
        <is>
          <t>הוצאות מראש מעליות 7-8/2026</t>
        </is>
      </c>
      <c r="C14" s="30" t="n">
        <v>5619</v>
      </c>
      <c r="D14" s="30" t="n">
        <v>5619</v>
      </c>
      <c r="E14" s="31">
        <f>C14-D14</f>
        <v>0.0</v>
      </c>
      <c r="F14" s="32" t="inlineStr"/>
    </row>
    <row r="15">
      <c r="A15" s="28" t="inlineStr"/>
      <c r="B15" s="29" t="inlineStr">
        <is>
          <t>הוצאות מראש ביטוח בניינים</t>
        </is>
      </c>
      <c r="C15" s="30" t="n">
        <v>31670</v>
      </c>
      <c r="D15" s="30" t="n">
        <v>31670</v>
      </c>
      <c r="E15" s="31">
        <f>C15-D15</f>
        <v>0.0</v>
      </c>
      <c r="F15" s="32" t="inlineStr"/>
    </row>
    <row r="16">
      <c r="A16" s="28" t="inlineStr"/>
      <c r="B16" s="29" t="inlineStr">
        <is>
          <t>גינון — ספק ירוקות</t>
        </is>
      </c>
      <c r="C16" s="30" t="n">
        <v>-22000</v>
      </c>
      <c r="D16" s="30" t="n">
        <v>-22000</v>
      </c>
      <c r="E16" s="31">
        <f>C16-D16</f>
        <v>0.0</v>
      </c>
      <c r="F16" s="32" t="inlineStr">
        <is>
          <t>הוצאה לשלם</t>
        </is>
      </c>
    </row>
    <row r="17">
      <c r="A17" s="28" t="inlineStr"/>
      <c r="B17" s="29" t="inlineStr">
        <is>
          <t>דוח כספי 2025</t>
        </is>
      </c>
      <c r="C17" s="30" t="n">
        <v>-12350</v>
      </c>
      <c r="D17" s="30" t="n">
        <v>-12350</v>
      </c>
      <c r="E17" s="31">
        <f>C17-D17</f>
        <v>0.0</v>
      </c>
      <c r="F17" s="32" t="inlineStr">
        <is>
          <t>הוצאה לשלם</t>
        </is>
      </c>
    </row>
    <row r="18">
      <c r="A18" s="28" t="inlineStr"/>
      <c r="B18" s="29" t="inlineStr">
        <is>
          <t>דוח כספי חציון 2026</t>
        </is>
      </c>
      <c r="C18" s="30" t="n">
        <v>-6175</v>
      </c>
      <c r="D18" s="30" t="n">
        <v>-6175</v>
      </c>
      <c r="E18" s="31">
        <f>C18-D18</f>
        <v>0.0</v>
      </c>
      <c r="F18" s="32" t="inlineStr">
        <is>
          <t>הוצאה לשלם</t>
        </is>
      </c>
    </row>
    <row r="19">
      <c r="A19" s="28" t="inlineStr"/>
      <c r="B19" s="29" t="inlineStr">
        <is>
          <t>הוצאות שכר דירה 1-6/2026</t>
        </is>
      </c>
      <c r="C19" s="30" t="n">
        <v>-21000</v>
      </c>
      <c r="D19" s="30" t="n">
        <v>-21000</v>
      </c>
      <c r="E19" s="31">
        <f>C19-D19</f>
        <v>0.0</v>
      </c>
      <c r="F19" s="32" t="inlineStr">
        <is>
          <t>הוצאה לשלם</t>
        </is>
      </c>
    </row>
    <row r="20">
      <c r="A20" s="28" t="inlineStr"/>
      <c r="B20" s="29" t="inlineStr">
        <is>
          <t>הוצאות אינטרנט 06/2026</t>
        </is>
      </c>
      <c r="C20" s="30" t="n">
        <v>-1113</v>
      </c>
      <c r="D20" s="30" t="n">
        <v>-1113</v>
      </c>
      <c r="E20" s="31">
        <f>C20-D20</f>
        <v>0.0</v>
      </c>
      <c r="F20" s="32" t="inlineStr">
        <is>
          <t>הוצאה לשלם</t>
        </is>
      </c>
    </row>
    <row r="21">
      <c r="A21" s="28" t="inlineStr"/>
      <c r="B21" s="29" t="inlineStr">
        <is>
          <t>שרות ריח 5-6/2026</t>
        </is>
      </c>
      <c r="C21" s="30" t="n">
        <v>-24000</v>
      </c>
      <c r="D21" s="30" t="n">
        <v>-24000</v>
      </c>
      <c r="E21" s="31">
        <f>C21-D21</f>
        <v>0.0</v>
      </c>
      <c r="F21" s="32" t="inlineStr">
        <is>
          <t>הוצאה לשלם</t>
        </is>
      </c>
    </row>
    <row r="22">
      <c r="A22" s="28" t="inlineStr"/>
      <c r="B22" s="29" t="inlineStr">
        <is>
          <t>בכר עבודות חשמל 6/2026</t>
        </is>
      </c>
      <c r="C22" s="30" t="n">
        <v>-22000</v>
      </c>
      <c r="D22" s="30" t="n">
        <v>-22000</v>
      </c>
      <c r="E22" s="31">
        <f>C22-D22</f>
        <v>0.0</v>
      </c>
      <c r="F22" s="32" t="inlineStr">
        <is>
          <t>הוצאה לשלם</t>
        </is>
      </c>
    </row>
    <row r="23">
      <c r="A23" s="28" t="inlineStr"/>
      <c r="B23" s="29" t="inlineStr">
        <is>
          <t>השלמה הוצאות שכר</t>
        </is>
      </c>
      <c r="C23" s="30" t="n">
        <v>-18159.09</v>
      </c>
      <c r="D23" s="30" t="n">
        <v>-18159.09</v>
      </c>
      <c r="E23" s="31">
        <f>C23-D23</f>
        <v>0.0</v>
      </c>
      <c r="F23" s="32" t="inlineStr">
        <is>
          <t>ראה גיליון 'התאמת שכר' — ייתכן ‑23,723.17</t>
        </is>
      </c>
    </row>
    <row r="24">
      <c r="A24" s="33" t="inlineStr"/>
      <c r="B24" s="34" t="inlineStr">
        <is>
          <t>סה"כ פקודות נוספות</t>
        </is>
      </c>
      <c r="C24" s="35">
        <f>SUM(C13:C23)</f>
        <v>878917.91</v>
      </c>
      <c r="D24" s="35">
        <f>SUM(D13:D23)</f>
        <v>-89508.09</v>
      </c>
      <c r="E24" s="36">
        <f>C24-D24</f>
        <v>968426.0</v>
      </c>
      <c r="F24" s="37" t="inlineStr"/>
    </row>
    <row r="26" ht="24" customHeight="1">
      <c r="A26" s="38" t="inlineStr"/>
      <c r="B26" s="21" t="inlineStr">
        <is>
          <t>רווח לתקופה 1–6/2026</t>
        </is>
      </c>
      <c r="C26" s="39">
        <f>C10+C24</f>
        <v>147065.53000000108</v>
      </c>
      <c r="D26" s="39">
        <f>D10+D24</f>
        <v>154205.63000000067</v>
      </c>
      <c r="E26" s="40">
        <f>C26-D26</f>
        <v>-7140.099999999598</v>
      </c>
      <c r="F26" s="41" t="inlineStr">
        <is>
          <t>הפער = 975,566.10 − 968,426.00</t>
        </is>
      </c>
    </row>
    <row r="27">
      <c r="A27" s="42" t="n"/>
      <c r="B27" s="43" t="inlineStr">
        <is>
          <t>שיעור רווח מהכנסות ברוטו</t>
        </is>
      </c>
      <c r="C27" s="44">
        <f>C26/$C$5</f>
        <v>0.02563554731672763</v>
      </c>
      <c r="D27" s="44">
        <f>D26/$C$5</f>
        <v>0.026880165082672883</v>
      </c>
      <c r="E27" s="42" t="n"/>
      <c r="F27" s="42" t="n"/>
    </row>
    <row r="29">
      <c r="B29" s="45" t="inlineStr">
        <is>
          <t>רגישות — מה מוחק את הרווח</t>
        </is>
      </c>
    </row>
    <row r="30" ht="30" customHeight="1">
      <c r="A30" s="7" t="inlineStr">
        <is>
          <t>#</t>
        </is>
      </c>
      <c r="B30" s="7" t="inlineStr">
        <is>
          <t>תרחיש</t>
        </is>
      </c>
      <c r="C30" s="7" t="inlineStr">
        <is>
          <t>השפעה על הרווח</t>
        </is>
      </c>
      <c r="D30" s="7" t="inlineStr">
        <is>
          <t>רווח מתוקן</t>
        </is>
      </c>
      <c r="E30" s="7" t="inlineStr"/>
      <c r="F30" s="7" t="inlineStr">
        <is>
          <t>הערה</t>
        </is>
      </c>
    </row>
    <row r="31">
      <c r="A31" s="42" t="n"/>
      <c r="B31" s="29" t="inlineStr">
        <is>
          <t>הפרשה משלימה 23,723.17 במקום 18,159.09</t>
        </is>
      </c>
      <c r="C31" s="31" t="n">
        <v>-5564.08</v>
      </c>
      <c r="D31" s="46">
        <f>$C$26+C31</f>
        <v>141501.4500000011</v>
      </c>
      <c r="E31" s="42" t="n"/>
      <c r="F31" s="47" t="inlineStr">
        <is>
          <t>ראה גיליון 'התאמת שכר'</t>
        </is>
      </c>
    </row>
    <row r="32">
      <c r="A32" s="42" t="n"/>
      <c r="B32" s="29" t="inlineStr">
        <is>
          <t>הוצאות ביטוח חסרות — הנחה של 50,000 ₪</t>
        </is>
      </c>
      <c r="C32" s="48" t="n">
        <v>-50000</v>
      </c>
      <c r="D32" s="46">
        <f>$C$26+C32</f>
        <v>97065.53000000108</v>
      </c>
      <c r="E32" s="42" t="n"/>
      <c r="F32" s="47" t="inlineStr">
        <is>
          <t>מספר להמחשה בלבד — יש לכמת</t>
        </is>
      </c>
    </row>
    <row r="33">
      <c r="A33" s="42" t="n"/>
      <c r="B33" s="29" t="inlineStr">
        <is>
          <t>שני התרחישים יחד</t>
        </is>
      </c>
      <c r="C33" s="31" t="n">
        <v>-55564.08</v>
      </c>
      <c r="D33" s="46">
        <f>$C$26+C33</f>
        <v>91501.45000000107</v>
      </c>
      <c r="E33" s="42" t="n"/>
      <c r="F33" s="47" t="inlineStr"/>
    </row>
    <row r="35">
      <c r="B35" s="2" t="inlineStr">
        <is>
          <t>הצהרה: כל הסכומים נלקחו כלשונם מהקובץ שהתקבל. לא בוצע שינוי בנתוני המקור.</t>
        </is>
      </c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rightToLeft="1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7" customWidth="1" min="3" max="3"/>
    <col width="17" customWidth="1" min="4" max="4"/>
    <col width="17" customWidth="1" min="5" max="5"/>
    <col width="15" customWidth="1" min="6" max="6"/>
    <col width="40" customWidth="1" min="7" max="7"/>
  </cols>
  <sheetData>
    <row r="1" ht="24" customHeight="1">
      <c r="A1" s="1" t="inlineStr">
        <is>
          <t>התאמת עלות שכר 1–6/2026 — שלושה מקורות</t>
        </is>
      </c>
    </row>
    <row r="2">
      <c r="A2" s="2" t="inlineStr">
        <is>
          <t>'ריכוז נתוני שכר' ו'שכר כולל תיקון' מגיעים ממערכת השכר · 'אקסל חודשי' = גיליונות החיוב ינואר–יוני</t>
        </is>
      </c>
    </row>
    <row r="4" ht="30" customHeight="1">
      <c r="A4" s="7" t="inlineStr">
        <is>
          <t>חודש</t>
        </is>
      </c>
      <c r="B4" s="7" t="inlineStr"/>
      <c r="C4" s="7" t="inlineStr">
        <is>
          <t>ריכוז נתוני שכר</t>
        </is>
      </c>
      <c r="D4" s="7" t="inlineStr">
        <is>
          <t>שכר כולל תיקון</t>
        </is>
      </c>
      <c r="E4" s="7" t="inlineStr">
        <is>
          <t>אקסל חודשי</t>
        </is>
      </c>
      <c r="F4" s="7" t="inlineStr">
        <is>
          <t>פער (ריכוז−אקסל)</t>
        </is>
      </c>
      <c r="G4" s="7" t="inlineStr">
        <is>
          <t>הערה</t>
        </is>
      </c>
    </row>
    <row r="5">
      <c r="A5" s="49" t="inlineStr">
        <is>
          <t>ינואר</t>
        </is>
      </c>
      <c r="B5" s="50" t="n"/>
      <c r="C5" s="51" t="n">
        <v>195877.79</v>
      </c>
      <c r="D5" s="51" t="n">
        <v>195877.79</v>
      </c>
      <c r="E5" s="51" t="n">
        <v>195877.79</v>
      </c>
      <c r="F5" s="52">
        <f>C5-E5</f>
        <v>0.0</v>
      </c>
      <c r="G5" s="32" t="inlineStr"/>
    </row>
    <row r="6">
      <c r="A6" s="49" t="inlineStr">
        <is>
          <t>פברואר</t>
        </is>
      </c>
      <c r="B6" s="50" t="n"/>
      <c r="C6" s="51" t="n">
        <v>187366.19</v>
      </c>
      <c r="D6" s="51" t="n">
        <v>187366.19</v>
      </c>
      <c r="E6" s="51" t="n">
        <v>187366.19</v>
      </c>
      <c r="F6" s="52">
        <f>C6-E6</f>
        <v>0.0</v>
      </c>
      <c r="G6" s="32" t="inlineStr"/>
    </row>
    <row r="7">
      <c r="A7" s="49" t="inlineStr">
        <is>
          <t>מרץ</t>
        </is>
      </c>
      <c r="B7" s="50" t="n"/>
      <c r="C7" s="51" t="n">
        <v>170781.01</v>
      </c>
      <c r="D7" s="51" t="n">
        <v>158816.93</v>
      </c>
      <c r="E7" s="51" t="n">
        <v>170781.01</v>
      </c>
      <c r="F7" s="52">
        <f>C7-E7</f>
        <v>0.0</v>
      </c>
      <c r="G7" s="32" t="inlineStr">
        <is>
          <t>התיקון גורע 11,964.08 מבן מאיר דורית</t>
        </is>
      </c>
    </row>
    <row r="8">
      <c r="A8" s="49" t="inlineStr">
        <is>
          <t>אפריל</t>
        </is>
      </c>
      <c r="B8" s="50" t="n"/>
      <c r="C8" s="51" t="n">
        <v>185147.31</v>
      </c>
      <c r="D8" s="51" t="n">
        <v>191547.31</v>
      </c>
      <c r="E8" s="51" t="n">
        <v>185147.31</v>
      </c>
      <c r="F8" s="52">
        <f>C8-E8</f>
        <v>0.0</v>
      </c>
      <c r="G8" s="32" t="inlineStr">
        <is>
          <t>התיקון מוסיף 6,400.00</t>
        </is>
      </c>
    </row>
    <row r="9">
      <c r="A9" s="49" t="inlineStr">
        <is>
          <t>מאי</t>
        </is>
      </c>
      <c r="B9" s="50" t="n"/>
      <c r="C9" s="51" t="n">
        <v>179979.77</v>
      </c>
      <c r="D9" s="51" t="n">
        <v>179979.77</v>
      </c>
      <c r="E9" s="51" t="n">
        <v>160693.53</v>
      </c>
      <c r="F9" s="52">
        <f>C9-E9</f>
        <v>19286.23999999999</v>
      </c>
      <c r="G9" s="32" t="inlineStr">
        <is>
          <t>בן מאיר דורית לא נכללה באקסל — 'שולם מגמש'</t>
        </is>
      </c>
    </row>
    <row r="10">
      <c r="A10" s="49" t="inlineStr">
        <is>
          <t>יוני</t>
        </is>
      </c>
      <c r="B10" s="50" t="n"/>
      <c r="C10" s="51" t="n">
        <v>163589.04</v>
      </c>
      <c r="D10" s="51" t="n">
        <v>163589.04</v>
      </c>
      <c r="E10" s="51" t="n">
        <v>163589.04</v>
      </c>
      <c r="F10" s="52">
        <f>C10-E10</f>
        <v>0.0</v>
      </c>
      <c r="G10" s="32" t="inlineStr"/>
    </row>
    <row r="11">
      <c r="A11" s="53" t="inlineStr">
        <is>
          <t>סה"כ</t>
        </is>
      </c>
      <c r="B11" s="20" t="n"/>
      <c r="C11" s="54">
        <f>SUM(C5:C10)</f>
        <v>1082741.11</v>
      </c>
      <c r="D11" s="54">
        <f>SUM(D5:D10)</f>
        <v>1077177.03</v>
      </c>
      <c r="E11" s="54">
        <f>SUM(E5:E10)</f>
        <v>1063454.87</v>
      </c>
      <c r="F11" s="54">
        <f>SUM(F5:F10)</f>
        <v>19286.23999999999</v>
      </c>
      <c r="G11" s="20" t="n"/>
    </row>
    <row r="13">
      <c r="B13" s="45" t="inlineStr">
        <is>
          <t>בן מאיר דורית — הסעיף שבמחלוקת</t>
        </is>
      </c>
    </row>
    <row r="14" ht="30" customHeight="1">
      <c r="A14" s="7" t="inlineStr">
        <is>
          <t>חודש</t>
        </is>
      </c>
      <c r="B14" s="7" t="inlineStr"/>
      <c r="C14" s="7" t="inlineStr">
        <is>
          <t>ריכוז (מקורי)</t>
        </is>
      </c>
      <c r="D14" s="7" t="inlineStr">
        <is>
          <t>כולל תיקון</t>
        </is>
      </c>
      <c r="E14" s="7" t="inlineStr">
        <is>
          <t>אקסל חודשי</t>
        </is>
      </c>
      <c r="F14" s="7" t="inlineStr">
        <is>
          <t>פער</t>
        </is>
      </c>
      <c r="G14" s="7" t="inlineStr">
        <is>
          <t>הערה</t>
        </is>
      </c>
    </row>
    <row r="15">
      <c r="A15" s="49" t="inlineStr">
        <is>
          <t>ינואר</t>
        </is>
      </c>
      <c r="B15" s="50" t="n"/>
      <c r="C15" s="51" t="n">
        <v>19677.96</v>
      </c>
      <c r="D15" s="51" t="n">
        <v>19677.96</v>
      </c>
      <c r="E15" s="51" t="n">
        <v>19677.96</v>
      </c>
      <c r="F15" s="52">
        <f>C15-D15</f>
        <v>0.0</v>
      </c>
      <c r="G15" s="32" t="inlineStr"/>
    </row>
    <row r="16">
      <c r="A16" s="49" t="inlineStr">
        <is>
          <t>פברואר</t>
        </is>
      </c>
      <c r="B16" s="50" t="n"/>
      <c r="C16" s="51" t="n">
        <v>24547.99</v>
      </c>
      <c r="D16" s="51" t="n">
        <v>24547.99</v>
      </c>
      <c r="E16" s="51" t="n">
        <v>24547.99</v>
      </c>
      <c r="F16" s="52">
        <f>C16-D16</f>
        <v>0.0</v>
      </c>
      <c r="G16" s="32" t="inlineStr"/>
    </row>
    <row r="17">
      <c r="A17" s="49" t="inlineStr">
        <is>
          <t>מרץ</t>
        </is>
      </c>
      <c r="B17" s="50" t="n"/>
      <c r="C17" s="51" t="n">
        <v>26461.08</v>
      </c>
      <c r="D17" s="51" t="n">
        <v>14497</v>
      </c>
      <c r="E17" s="51" t="n">
        <v>26461.08</v>
      </c>
      <c r="F17" s="52">
        <f>C17-D17</f>
        <v>11964.080000000002</v>
      </c>
      <c r="G17" s="32" t="inlineStr">
        <is>
          <t>מקדמה רשומה 14,497.43 — הוזז בפועל 11,964.08</t>
        </is>
      </c>
    </row>
    <row r="18">
      <c r="A18" s="49" t="inlineStr">
        <is>
          <t>אפריל</t>
        </is>
      </c>
      <c r="B18" s="50" t="n"/>
      <c r="C18" s="51" t="n">
        <v>10902.01</v>
      </c>
      <c r="D18" s="51" t="n">
        <v>17302.01</v>
      </c>
      <c r="E18" s="51" t="n">
        <v>10902.01</v>
      </c>
      <c r="F18" s="52">
        <f>C18-D18</f>
        <v>-6399.999999999998</v>
      </c>
      <c r="G18" s="32" t="inlineStr">
        <is>
          <t>מקדמה 6,400.00</t>
        </is>
      </c>
    </row>
    <row r="19">
      <c r="A19" s="49" t="inlineStr">
        <is>
          <t>מאי</t>
        </is>
      </c>
      <c r="B19" s="50" t="n"/>
      <c r="C19" s="51" t="n">
        <v>19286.24</v>
      </c>
      <c r="D19" s="51" t="n">
        <v>19286.24</v>
      </c>
      <c r="E19" s="51" t="n">
        <v>0</v>
      </c>
      <c r="F19" s="52">
        <f>C19-D19</f>
        <v>0.0</v>
      </c>
      <c r="G19" s="32" t="inlineStr">
        <is>
          <t>באקסל אין סכום — 'שולם מגמש'</t>
        </is>
      </c>
    </row>
    <row r="20">
      <c r="A20" s="49" t="inlineStr">
        <is>
          <t>יוני</t>
        </is>
      </c>
      <c r="B20" s="50" t="n"/>
      <c r="C20" s="51" t="n">
        <v>19286.24</v>
      </c>
      <c r="D20" s="51" t="n">
        <v>19286.24</v>
      </c>
      <c r="E20" s="51" t="n">
        <v>19286.24</v>
      </c>
      <c r="F20" s="52">
        <f>C20-D20</f>
        <v>0.0</v>
      </c>
      <c r="G20" s="32" t="inlineStr">
        <is>
          <t>זהה למאי — לאשר</t>
        </is>
      </c>
    </row>
    <row r="21">
      <c r="A21" s="53" t="inlineStr">
        <is>
          <t>סה"כ</t>
        </is>
      </c>
      <c r="B21" s="20" t="n"/>
      <c r="C21" s="54">
        <f>SUM(C15:C20)</f>
        <v>120161.52</v>
      </c>
      <c r="D21" s="54">
        <f>SUM(D15:D20)</f>
        <v>114597.44</v>
      </c>
      <c r="E21" s="54">
        <f>SUM(E15:E20)</f>
        <v>100875.28</v>
      </c>
      <c r="F21" s="54">
        <f>SUM(F15:F20)</f>
        <v>5564.080000000004</v>
      </c>
      <c r="G21" s="55" t="inlineStr">
        <is>
          <t>הזזה בין חודשים לא אמורה לשנות את הסך הכולל — כאן היא גורעת 5,564.08 ₪</t>
        </is>
      </c>
    </row>
    <row r="23">
      <c r="B23" s="45" t="inlineStr">
        <is>
          <t>השפעה על החשבונית המשלימה שפרומול מוציאה לוויצמן</t>
        </is>
      </c>
    </row>
    <row r="24" ht="30" customHeight="1">
      <c r="A24" s="7" t="inlineStr"/>
      <c r="B24" s="7" t="inlineStr">
        <is>
          <t>סעיף</t>
        </is>
      </c>
      <c r="C24" s="7" t="inlineStr">
        <is>
          <t>לפי 'ריכוז'</t>
        </is>
      </c>
      <c r="D24" s="7" t="inlineStr">
        <is>
          <t>לפי 'כולל תיקון'</t>
        </is>
      </c>
      <c r="E24" s="7" t="inlineStr">
        <is>
          <t>פער</t>
        </is>
      </c>
      <c r="F24" s="7" t="inlineStr"/>
      <c r="G24" s="7" t="inlineStr"/>
    </row>
    <row r="25">
      <c r="A25" s="42" t="n"/>
      <c r="B25" s="29" t="inlineStr">
        <is>
          <t>סכום כולל שכר</t>
        </is>
      </c>
      <c r="C25" s="56" t="n">
        <v>1082741.11</v>
      </c>
      <c r="D25" s="56" t="n">
        <v>1077177.03</v>
      </c>
      <c r="E25" s="46">
        <f>C25-D25</f>
        <v>5564.0800000000745</v>
      </c>
      <c r="F25" s="42" t="n"/>
      <c r="G25" s="42" t="n"/>
    </row>
    <row r="26">
      <c r="A26" s="42" t="n"/>
      <c r="B26" s="29" t="inlineStr">
        <is>
          <t>הוצאות רכב לתקופה</t>
        </is>
      </c>
      <c r="C26" s="56" t="n">
        <v>109108.05</v>
      </c>
      <c r="D26" s="56" t="n">
        <v>109108.05</v>
      </c>
      <c r="E26" s="46">
        <f>C26-D26</f>
        <v>0.0</v>
      </c>
      <c r="F26" s="42" t="n"/>
      <c r="G26" s="42" t="n"/>
    </row>
    <row r="27">
      <c r="A27" s="57" t="n"/>
      <c r="B27" s="34" t="inlineStr">
        <is>
          <t>סה"כ שכר + רכב (צ"ל)</t>
        </is>
      </c>
      <c r="C27" s="58">
        <f>SUM(C25:C26)</f>
        <v>1191849.1600000001</v>
      </c>
      <c r="D27" s="58">
        <f>SUM(D25:D26)</f>
        <v>1186285.08</v>
      </c>
      <c r="E27" s="36">
        <f>C27-D27</f>
        <v>5564.0800000000745</v>
      </c>
      <c r="F27" s="57" t="n"/>
      <c r="G27" s="57" t="n"/>
    </row>
    <row r="28">
      <c r="A28" s="42" t="n"/>
      <c r="B28" s="29" t="inlineStr">
        <is>
          <t>בניכוי: סה"כ יצאו חשבוניות פרומול</t>
        </is>
      </c>
      <c r="C28" s="56" t="n">
        <v>-1168125.99</v>
      </c>
      <c r="D28" s="56" t="n">
        <v>-1168125.99</v>
      </c>
      <c r="E28" s="42" t="n"/>
      <c r="F28" s="42" t="n"/>
      <c r="G28" s="42" t="n"/>
    </row>
    <row r="29">
      <c r="A29" s="20" t="n"/>
      <c r="B29" s="53" t="inlineStr">
        <is>
          <t>חשבונית משלימה להוצאה</t>
        </is>
      </c>
      <c r="C29" s="59">
        <f>C27+C28</f>
        <v>23723.17000000016</v>
      </c>
      <c r="D29" s="59">
        <f>D27+D28</f>
        <v>18159.090000000084</v>
      </c>
      <c r="E29" s="60">
        <f>C29-D29</f>
        <v>5564.0800000000745</v>
      </c>
      <c r="F29" s="61" t="inlineStr">
        <is>
          <t>← זה הפער להכרעה</t>
        </is>
      </c>
      <c r="G29" s="20" t="n"/>
    </row>
    <row r="31">
      <c r="B31" s="6" t="inlineStr">
        <is>
          <t>בספרים נרשמה ההפרשה 18,159.09 ₪ (גרסת 'כולל תיקון'). אם הגרסה הקובעת היא 'ריכוז' — חסרה הפרשה של 5,564.08 ₪.</t>
        </is>
      </c>
    </row>
    <row r="33">
      <c r="B33" s="45" t="inlineStr">
        <is>
          <t>הוצאות רכב — שלושה מספרים</t>
        </is>
      </c>
    </row>
    <row r="34" ht="30" customHeight="1">
      <c r="A34" s="7" t="inlineStr"/>
      <c r="B34" s="7" t="inlineStr">
        <is>
          <t>מקור</t>
        </is>
      </c>
      <c r="C34" s="7" t="inlineStr">
        <is>
          <t>סכום</t>
        </is>
      </c>
      <c r="D34" s="7" t="inlineStr">
        <is>
          <t>פער מול הספרים</t>
        </is>
      </c>
      <c r="E34" s="7" t="inlineStr"/>
      <c r="F34" s="7" t="inlineStr"/>
      <c r="G34" s="7" t="inlineStr"/>
    </row>
    <row r="35">
      <c r="A35" s="42" t="n"/>
      <c r="B35" s="29" t="inlineStr">
        <is>
          <t>מאזן בוחן — חשבון 1230201</t>
        </is>
      </c>
      <c r="C35" s="56" t="n">
        <v>112604.61</v>
      </c>
      <c r="D35" s="62">
        <f>$C$35-C35</f>
        <v>0.0</v>
      </c>
      <c r="E35" s="42" t="n"/>
      <c r="F35" s="42" t="n"/>
      <c r="G35" s="42" t="n"/>
    </row>
    <row r="36">
      <c r="A36" s="42" t="n"/>
      <c r="B36" s="29" t="inlineStr">
        <is>
          <t>גיליון שכר — 'הוצאות אחזקת רכב'</t>
        </is>
      </c>
      <c r="C36" s="56" t="n">
        <v>104671.11</v>
      </c>
      <c r="D36" s="62">
        <f>$C$35-C36</f>
        <v>7933.5</v>
      </c>
      <c r="E36" s="42" t="n"/>
      <c r="F36" s="42" t="n"/>
      <c r="G36" s="42" t="n"/>
    </row>
    <row r="37">
      <c r="A37" s="42" t="n"/>
      <c r="B37" s="29" t="inlineStr">
        <is>
          <t>גיליון שכר — 'הוצאות רכב לתקופה'</t>
        </is>
      </c>
      <c r="C37" s="56" t="n">
        <v>109108.05</v>
      </c>
      <c r="D37" s="62">
        <f>$C$35-C37</f>
        <v>3496.5599999999977</v>
      </c>
      <c r="E37" s="42" t="n"/>
      <c r="F37" s="42" t="n"/>
      <c r="G37" s="42" t="n"/>
    </row>
  </sheetData>
  <mergeCells count="3">
    <mergeCell ref="A2:G2"/>
    <mergeCell ref="B31:G3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7" customWidth="1" min="3" max="3"/>
    <col width="15" customWidth="1" min="4" max="4"/>
    <col width="17" customWidth="1" min="5" max="5"/>
    <col width="17" customWidth="1" min="6" max="6"/>
    <col width="17" customWidth="1" min="7" max="7"/>
    <col width="40" customWidth="1" min="8" max="8"/>
  </cols>
  <sheetData>
    <row r="1" ht="24" customHeight="1">
      <c r="A1" s="1" t="inlineStr">
        <is>
          <t>חיוב שכר מול ויצמן 1–6/2026 — מעקב תשלומים</t>
        </is>
      </c>
    </row>
    <row r="2">
      <c r="A2" s="2" t="inlineStr">
        <is>
          <t>מקור: גיליונות ינואר–יוני. מע"מ 18% — נבדק ותקין בכל ששת החודשים.</t>
        </is>
      </c>
    </row>
    <row r="4" ht="30" customHeight="1">
      <c r="A4" s="7" t="inlineStr"/>
      <c r="B4" s="7" t="inlineStr">
        <is>
          <t>חודש</t>
        </is>
      </c>
      <c r="C4" s="7" t="inlineStr">
        <is>
          <t>סה"כ לחיוב</t>
        </is>
      </c>
      <c r="D4" s="7" t="inlineStr">
        <is>
          <t>מע"מ 18%</t>
        </is>
      </c>
      <c r="E4" s="7" t="inlineStr">
        <is>
          <t>כולל מע"מ</t>
        </is>
      </c>
      <c r="F4" s="7" t="inlineStr">
        <is>
          <t>שולם</t>
        </is>
      </c>
      <c r="G4" s="7" t="inlineStr">
        <is>
          <t>יתרה פתוחה</t>
        </is>
      </c>
      <c r="H4" s="7" t="inlineStr">
        <is>
          <t>הערה</t>
        </is>
      </c>
    </row>
    <row r="5">
      <c r="A5" s="50" t="n"/>
      <c r="B5" s="49" t="inlineStr">
        <is>
          <t>ינואר</t>
        </is>
      </c>
      <c r="C5" s="51" t="n">
        <v>217592.83</v>
      </c>
      <c r="D5" s="51">
        <f>C5*0.18</f>
        <v>39166.7094</v>
      </c>
      <c r="E5" s="16">
        <f>C5+D5</f>
        <v>256759.53939999998</v>
      </c>
      <c r="F5" s="51" t="n">
        <v>255823.21</v>
      </c>
      <c r="G5" s="52">
        <f>E5-F5</f>
        <v>936.3293999999878</v>
      </c>
      <c r="H5" s="32" t="inlineStr">
        <is>
          <t>שולם 255,823.21</t>
        </is>
      </c>
    </row>
    <row r="6">
      <c r="A6" s="50" t="n"/>
      <c r="B6" s="49" t="inlineStr">
        <is>
          <t>פברואר</t>
        </is>
      </c>
      <c r="C6" s="51" t="n">
        <v>203704.66</v>
      </c>
      <c r="D6" s="51">
        <f>C6*0.18</f>
        <v>36666.8388</v>
      </c>
      <c r="E6" s="16">
        <f>C6+D6</f>
        <v>240371.4988</v>
      </c>
      <c r="F6" s="51" t="n">
        <v>230570</v>
      </c>
      <c r="G6" s="52">
        <f>E6-F6</f>
        <v>9801.498800000001</v>
      </c>
      <c r="H6" s="32" t="inlineStr">
        <is>
          <t>שני תשלומים: 220,000 + 10,570</t>
        </is>
      </c>
    </row>
    <row r="7">
      <c r="A7" s="63" t="n"/>
      <c r="B7" s="64" t="inlineStr">
        <is>
          <t>מרץ</t>
        </is>
      </c>
      <c r="C7" s="51" t="n">
        <v>188111.65</v>
      </c>
      <c r="D7" s="51">
        <f>C7*0.18</f>
        <v>33860.096999999994</v>
      </c>
      <c r="E7" s="16">
        <f>C7+D7</f>
        <v>221971.74699999997</v>
      </c>
      <c r="F7" s="65" t="n">
        <v>0</v>
      </c>
      <c r="G7" s="66">
        <f>E7-F7</f>
        <v>221971.74699999997</v>
      </c>
      <c r="H7" s="32" t="inlineStr">
        <is>
          <t>אין שורת תשלום בגיליון — לאשר</t>
        </is>
      </c>
    </row>
    <row r="8">
      <c r="A8" s="50" t="n"/>
      <c r="B8" s="49" t="inlineStr">
        <is>
          <t>אפריל</t>
        </is>
      </c>
      <c r="C8" s="51" t="n">
        <v>202210.88</v>
      </c>
      <c r="D8" s="51">
        <f>C8*0.18</f>
        <v>36397.958399999996</v>
      </c>
      <c r="E8" s="16">
        <f>C8+D8</f>
        <v>238608.8384</v>
      </c>
      <c r="F8" s="51" t="n">
        <v>220000</v>
      </c>
      <c r="G8" s="52">
        <f>E8-F8</f>
        <v>18608.838400000008</v>
      </c>
      <c r="H8" s="32" t="inlineStr">
        <is>
          <t>שולם 220,000 — סכום עגול</t>
        </is>
      </c>
    </row>
    <row r="9">
      <c r="A9" s="50" t="n"/>
      <c r="B9" s="49" t="inlineStr">
        <is>
          <t>מאי</t>
        </is>
      </c>
      <c r="C9" s="51" t="n">
        <v>173276.2</v>
      </c>
      <c r="D9" s="51">
        <f>C9*0.18</f>
        <v>31189.716</v>
      </c>
      <c r="E9" s="16">
        <f>C9+D9</f>
        <v>204465.91600000003</v>
      </c>
      <c r="F9" s="51" t="n">
        <v>204572.32</v>
      </c>
      <c r="G9" s="52">
        <f>E9-F9</f>
        <v>-106.40399999998044</v>
      </c>
      <c r="H9" s="32" t="inlineStr">
        <is>
          <t>שולם 230,000 בניכוי החזר 25,427.68</t>
        </is>
      </c>
    </row>
    <row r="10">
      <c r="A10" s="50" t="n"/>
      <c r="B10" s="49" t="inlineStr">
        <is>
          <t>יוני</t>
        </is>
      </c>
      <c r="C10" s="51" t="n">
        <v>183229.77</v>
      </c>
      <c r="D10" s="51">
        <f>C10*0.18</f>
        <v>32981.3586</v>
      </c>
      <c r="E10" s="16">
        <f>C10+D10</f>
        <v>216211.1286</v>
      </c>
      <c r="F10" s="51" t="n">
        <v>213902.54</v>
      </c>
      <c r="G10" s="52">
        <f>E10-F10</f>
        <v>2308.588599999988</v>
      </c>
      <c r="H10" s="32" t="inlineStr">
        <is>
          <t>211,993.54 + 1,909 ששולמו ישירות מויצמן</t>
        </is>
      </c>
    </row>
    <row r="11">
      <c r="A11" s="20" t="n"/>
      <c r="B11" s="53" t="inlineStr">
        <is>
          <t>סה"כ</t>
        </is>
      </c>
      <c r="C11" s="54">
        <f>SUM(C5:C10)</f>
        <v>1168125.99</v>
      </c>
      <c r="D11" s="54">
        <f>SUM(D5:D10)</f>
        <v>210262.6782</v>
      </c>
      <c r="E11" s="54">
        <f>SUM(E5:E10)</f>
        <v>1378388.6682</v>
      </c>
      <c r="F11" s="54">
        <f>SUM(F5:F10)</f>
        <v>1124868.07</v>
      </c>
      <c r="G11" s="54">
        <f>SUM(G5:G10)</f>
        <v>253520.59819999998</v>
      </c>
      <c r="H11" s="20" t="n"/>
    </row>
    <row r="13">
      <c r="A13" s="42" t="n"/>
      <c r="B13" s="43" t="inlineStr">
        <is>
          <t>יתרה פתוחה ללא מרץ</t>
        </is>
      </c>
      <c r="C13" s="42" t="n"/>
      <c r="D13" s="42" t="n"/>
      <c r="E13" s="42" t="n"/>
      <c r="F13" s="42" t="n"/>
      <c r="G13" s="67">
        <f>G11-E7</f>
        <v>31548.851200000005</v>
      </c>
      <c r="H13" s="42" t="n"/>
    </row>
    <row r="14">
      <c r="A14" s="42" t="n"/>
      <c r="B14" s="43" t="inlineStr">
        <is>
          <t>יתרה פתוחה כולל מרץ (אם לא שולם)</t>
        </is>
      </c>
      <c r="C14" s="42" t="n"/>
      <c r="D14" s="42" t="n"/>
      <c r="E14" s="42" t="n"/>
      <c r="F14" s="42" t="n"/>
      <c r="G14" s="68">
        <f>G11</f>
        <v>253520.59819999998</v>
      </c>
      <c r="H14" s="42" t="n"/>
    </row>
    <row r="16">
      <c r="B16" s="69" t="inlineStr">
        <is>
          <t>התשלומים מבוצעים בסכומים עגולים (220,000 / 230,000) ולא בסכום החשבונית — מה שמייצר יתרות גוררות מדי חודש. המלצה: לעבור לתשלום מדויק.</t>
        </is>
      </c>
    </row>
  </sheetData>
  <mergeCells count="3">
    <mergeCell ref="B16:H16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rightToLeft="1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14" customWidth="1" min="4" max="4"/>
    <col width="18" customWidth="1" min="5" max="5"/>
    <col width="40" customWidth="1" min="6" max="6"/>
  </cols>
  <sheetData>
    <row r="1" ht="24" customHeight="1">
      <c r="A1" s="1" t="inlineStr">
        <is>
          <t>פילוח הוצאות 1–6/2026</t>
        </is>
      </c>
    </row>
    <row r="2">
      <c r="A2" s="2" t="inlineStr">
        <is>
          <t>מצטבר נטו מתוך מאזן הבוחן</t>
        </is>
      </c>
    </row>
    <row r="4" ht="30" customHeight="1">
      <c r="A4" s="7" t="inlineStr">
        <is>
          <t>חשבון</t>
        </is>
      </c>
      <c r="B4" s="7" t="inlineStr">
        <is>
          <t>סעיף</t>
        </is>
      </c>
      <c r="C4" s="7" t="inlineStr">
        <is>
          <t>מצטבר (₪)</t>
        </is>
      </c>
      <c r="D4" s="7" t="inlineStr">
        <is>
          <t>% מההוצאות</t>
        </is>
      </c>
      <c r="E4" s="7" t="inlineStr">
        <is>
          <t>ממוצע חודשי</t>
        </is>
      </c>
      <c r="F4" s="7" t="inlineStr">
        <is>
          <t>הערה</t>
        </is>
      </c>
    </row>
    <row r="5">
      <c r="A5" s="70" t="inlineStr">
        <is>
          <t>12207</t>
        </is>
      </c>
      <c r="B5" s="71" t="inlineStr">
        <is>
          <t>הוצ' ניקיון</t>
        </is>
      </c>
      <c r="C5" s="51" t="n">
        <v>2092095.22</v>
      </c>
      <c r="D5" s="72">
        <f>C5/$C$20</f>
        <v>0.38091647332758166</v>
      </c>
      <c r="E5" s="51">
        <f>C5/6</f>
        <v>348682.5366666667</v>
      </c>
      <c r="F5" s="32" t="inlineStr">
        <is>
          <t>ניקיון שרות קבוע — ספק חיצוני</t>
        </is>
      </c>
    </row>
    <row r="6">
      <c r="A6" s="70" t="inlineStr">
        <is>
          <t>12206</t>
        </is>
      </c>
      <c r="B6" s="71" t="inlineStr">
        <is>
          <t>אחזקה כללי</t>
        </is>
      </c>
      <c r="C6" s="51" t="n">
        <v>1037490.01</v>
      </c>
      <c r="D6" s="72">
        <f>C6/$C$20</f>
        <v>0.1889001188587379</v>
      </c>
      <c r="E6" s="51">
        <f>C6/6</f>
        <v>172915.00166666668</v>
      </c>
      <c r="F6" s="32" t="inlineStr">
        <is>
          <t>מתוכו גינון 573,269 · חומרי חשמל 273,364 · חומרי ניקוי 117,789</t>
        </is>
      </c>
    </row>
    <row r="7">
      <c r="A7" s="70" t="inlineStr">
        <is>
          <t>12303</t>
        </is>
      </c>
      <c r="B7" s="71" t="inlineStr">
        <is>
          <t>השתתפות בשכר מנהל</t>
        </is>
      </c>
      <c r="C7" s="51" t="n">
        <v>1062661.37</v>
      </c>
      <c r="D7" s="72">
        <f>C7/$C$20</f>
        <v>0.19348317300866277</v>
      </c>
      <c r="E7" s="51">
        <f>C7/6</f>
        <v>177110.22833333336</v>
      </c>
      <c r="F7" s="32" t="inlineStr">
        <is>
          <t>ראה גיליון 'התאמת שכר'</t>
        </is>
      </c>
    </row>
    <row r="8">
      <c r="A8" s="70" t="inlineStr">
        <is>
          <t>12217</t>
        </is>
      </c>
      <c r="B8" s="71" t="inlineStr">
        <is>
          <t>קבלני חוץ לאחזקה</t>
        </is>
      </c>
      <c r="C8" s="51" t="n">
        <v>451958.55</v>
      </c>
      <c r="D8" s="72">
        <f>C8/$C$20</f>
        <v>0.08228997194317354</v>
      </c>
      <c r="E8" s="51">
        <f>C8/6</f>
        <v>75326.425</v>
      </c>
      <c r="F8" s="32" t="inlineStr">
        <is>
          <t>מתוכו אינסטלציה 114,767 · מאגרי מים 75,695 · כיבוי אש 43,779</t>
        </is>
      </c>
    </row>
    <row r="9">
      <c r="A9" s="70" t="inlineStr">
        <is>
          <t>12222</t>
        </is>
      </c>
      <c r="B9" s="71" t="inlineStr">
        <is>
          <t>מעליות — אחזקה שוטפת</t>
        </is>
      </c>
      <c r="C9" s="51" t="n">
        <v>346357.58</v>
      </c>
      <c r="D9" s="72">
        <f>C9/$C$20</f>
        <v>0.06306276436302728</v>
      </c>
      <c r="E9" s="51">
        <f>C9/6</f>
        <v>57726.263333333336</v>
      </c>
      <c r="F9" s="32" t="inlineStr">
        <is>
          <t>הסכם שירות 284,633 · חלפים 22,361 · בודק 39,364</t>
        </is>
      </c>
    </row>
    <row r="10">
      <c r="A10" s="70" t="inlineStr">
        <is>
          <t>12223</t>
        </is>
      </c>
      <c r="B10" s="71" t="inlineStr">
        <is>
          <t>חשמל ציבורי משותף</t>
        </is>
      </c>
      <c r="C10" s="51" t="n">
        <v>142936.14</v>
      </c>
      <c r="D10" s="72">
        <f>C10/$C$20</f>
        <v>0.026024977180463843</v>
      </c>
      <c r="E10" s="51">
        <f>C10/6</f>
        <v>23822.690000000002</v>
      </c>
      <c r="F10" s="32" t="inlineStr"/>
    </row>
    <row r="11">
      <c r="A11" s="70" t="inlineStr">
        <is>
          <t>12102</t>
        </is>
      </c>
      <c r="B11" s="71" t="inlineStr">
        <is>
          <t>שרותי תקשורת</t>
        </is>
      </c>
      <c r="C11" s="51" t="n">
        <v>131580.45</v>
      </c>
      <c r="D11" s="72">
        <f>C11/$C$20</f>
        <v>0.023957399497741883</v>
      </c>
      <c r="E11" s="51">
        <f>C11/6</f>
        <v>21930.075</v>
      </c>
      <c r="F11" s="32" t="inlineStr">
        <is>
          <t>מתוכו מחשוב ותוכנה 113,276</t>
        </is>
      </c>
    </row>
    <row r="12">
      <c r="A12" s="70" t="inlineStr">
        <is>
          <t>12302</t>
        </is>
      </c>
      <c r="B12" s="71" t="inlineStr">
        <is>
          <t>הוצ' רכב</t>
        </is>
      </c>
      <c r="C12" s="51" t="n">
        <v>112604.61</v>
      </c>
      <c r="D12" s="72">
        <f>C12/$C$20</f>
        <v>0.020502389428349123</v>
      </c>
      <c r="E12" s="51">
        <f>C12/6</f>
        <v>18767.435</v>
      </c>
      <c r="F12" s="32" t="inlineStr">
        <is>
          <t>לא תואם את גיליון השכר — פער 7,933.50</t>
        </is>
      </c>
    </row>
    <row r="13">
      <c r="A13" s="70" t="inlineStr">
        <is>
          <t>12224</t>
        </is>
      </c>
      <c r="B13" s="71" t="inlineStr">
        <is>
          <t>ביטוח</t>
        </is>
      </c>
      <c r="C13" s="51" t="n">
        <v>50832</v>
      </c>
      <c r="D13" s="72">
        <f>C13/$C$20</f>
        <v>0.00925519354333577</v>
      </c>
      <c r="E13" s="51">
        <f>C13/6</f>
        <v>8472.0</v>
      </c>
      <c r="F13" s="32" t="inlineStr">
        <is>
          <t>חסרות הוצאות ביטוח מפרומול — לא כומת</t>
        </is>
      </c>
    </row>
    <row r="14">
      <c r="A14" s="70" t="inlineStr">
        <is>
          <t>12101</t>
        </is>
      </c>
      <c r="B14" s="71" t="inlineStr">
        <is>
          <t>הוצ' אחזקת משרד ומשרדיות</t>
        </is>
      </c>
      <c r="C14" s="51" t="n">
        <v>35766.12</v>
      </c>
      <c r="D14" s="72">
        <f>C14/$C$20</f>
        <v>0.006512086144439967</v>
      </c>
      <c r="E14" s="51">
        <f>C14/6</f>
        <v>5961.02</v>
      </c>
      <c r="F14" s="32" t="inlineStr"/>
    </row>
    <row r="15">
      <c r="A15" s="70" t="inlineStr">
        <is>
          <t>12219</t>
        </is>
      </c>
      <c r="B15" s="71" t="inlineStr">
        <is>
          <t>מיסים עירוניים ומים</t>
        </is>
      </c>
      <c r="C15" s="51" t="n">
        <v>12417</v>
      </c>
      <c r="D15" s="72">
        <f>C15/$C$20</f>
        <v>0.0022608148061772164</v>
      </c>
      <c r="E15" s="51">
        <f>C15/6</f>
        <v>2069.5</v>
      </c>
      <c r="F15" s="32" t="inlineStr"/>
    </row>
    <row r="16">
      <c r="A16" s="70" t="inlineStr">
        <is>
          <t>12225</t>
        </is>
      </c>
      <c r="B16" s="71" t="inlineStr">
        <is>
          <t>פרסום וארועים</t>
        </is>
      </c>
      <c r="C16" s="51" t="n">
        <v>9767.799999999999</v>
      </c>
      <c r="D16" s="72">
        <f>C16/$C$20</f>
        <v>0.0017784639497284219</v>
      </c>
      <c r="E16" s="51">
        <f>C16/6</f>
        <v>1627.9666666666665</v>
      </c>
      <c r="F16" s="32" t="inlineStr"/>
    </row>
    <row r="17">
      <c r="A17" s="70" t="inlineStr">
        <is>
          <t>12501</t>
        </is>
      </c>
      <c r="B17" s="71" t="inlineStr">
        <is>
          <t>מימון נטו</t>
        </is>
      </c>
      <c r="C17" s="51" t="n">
        <v>3886.79</v>
      </c>
      <c r="D17" s="72">
        <f>C17/$C$20</f>
        <v>0.0007076840122816738</v>
      </c>
      <c r="E17" s="51">
        <f>C17/6</f>
        <v>647.7983333333333</v>
      </c>
      <c r="F17" s="32" t="inlineStr">
        <is>
          <t>אין הכנסות ריבית כנגד</t>
        </is>
      </c>
    </row>
    <row r="18">
      <c r="A18" s="70" t="inlineStr">
        <is>
          <t>12301</t>
        </is>
      </c>
      <c r="B18" s="71" t="inlineStr">
        <is>
          <t>שכ"ע (ביגוד)</t>
        </is>
      </c>
      <c r="C18" s="51" t="n">
        <v>1164</v>
      </c>
      <c r="D18" s="72">
        <f>C18/$C$20</f>
        <v>0.00021193431862690505</v>
      </c>
      <c r="E18" s="51">
        <f>C18/6</f>
        <v>194.0</v>
      </c>
      <c r="F18" s="32" t="inlineStr">
        <is>
          <t>נרשם כולו ביוני</t>
        </is>
      </c>
    </row>
    <row r="19">
      <c r="A19" s="70" t="inlineStr">
        <is>
          <t>12103</t>
        </is>
      </c>
      <c r="B19" s="71" t="inlineStr">
        <is>
          <t>שכ"ט מקצועי</t>
        </is>
      </c>
      <c r="C19" s="51" t="n">
        <v>750</v>
      </c>
      <c r="D19" s="72">
        <f>C19/$C$20</f>
        <v>0.0001365556176719749</v>
      </c>
      <c r="E19" s="51">
        <f>C19/6</f>
        <v>125.0</v>
      </c>
      <c r="F19" s="32" t="inlineStr"/>
    </row>
    <row r="20">
      <c r="A20" s="20" t="n"/>
      <c r="B20" s="53" t="inlineStr">
        <is>
          <t>סה"כ הוצאות (קבוצה 12, נטו)</t>
        </is>
      </c>
      <c r="C20" s="54">
        <f>SUM(C5:C19)</f>
        <v>5492267.640000001</v>
      </c>
      <c r="D20" s="73">
        <f>C20/$C$20</f>
        <v>1.0</v>
      </c>
      <c r="E20" s="54">
        <f>C20/6</f>
        <v>915377.9400000001</v>
      </c>
      <c r="F20" s="20" t="n"/>
    </row>
    <row r="21">
      <c r="A21" s="42" t="n"/>
      <c r="B21" s="47" t="inlineStr">
        <is>
          <t>ביקורת: הסכום לפי מאזן הבוחן</t>
        </is>
      </c>
      <c r="C21" s="74" t="n">
        <v>5492267.64</v>
      </c>
      <c r="D21" s="42" t="n"/>
      <c r="E21" s="42" t="n"/>
      <c r="F21" s="47" t="inlineStr">
        <is>
          <t>הפרש אמור להיות אפס</t>
        </is>
      </c>
    </row>
    <row r="22">
      <c r="A22" s="42" t="n"/>
      <c r="B22" s="47" t="inlineStr">
        <is>
          <t>הפרש</t>
        </is>
      </c>
      <c r="C22" s="75">
        <f>C20-C21</f>
        <v>9.313225746154785e-10</v>
      </c>
      <c r="D22" s="42" t="n"/>
      <c r="E22" s="42" t="n"/>
      <c r="F22" s="42" t="n"/>
    </row>
    <row r="24">
      <c r="B24" s="45" t="inlineStr">
        <is>
          <t>מתוכם — סעיפים בולטים (כלולים בקבוצות שלמעלה, אינם נסכמים בנפרד)</t>
        </is>
      </c>
    </row>
    <row r="25" ht="30" customHeight="1">
      <c r="A25" s="7" t="inlineStr">
        <is>
          <t>חשבון</t>
        </is>
      </c>
      <c r="B25" s="7" t="inlineStr">
        <is>
          <t>סעיף</t>
        </is>
      </c>
      <c r="C25" s="7" t="inlineStr">
        <is>
          <t>מצטבר (₪)</t>
        </is>
      </c>
      <c r="D25" s="7" t="inlineStr">
        <is>
          <t>% מההוצאות</t>
        </is>
      </c>
      <c r="E25" s="7" t="inlineStr">
        <is>
          <t>מתוכו ביוני</t>
        </is>
      </c>
      <c r="F25" s="7" t="inlineStr">
        <is>
          <t>הערה</t>
        </is>
      </c>
    </row>
    <row r="26">
      <c r="A26" s="70" t="inlineStr">
        <is>
          <t>1220614</t>
        </is>
      </c>
      <c r="B26" s="71" t="inlineStr">
        <is>
          <t>גינון</t>
        </is>
      </c>
      <c r="C26" s="51" t="n">
        <v>573269.01</v>
      </c>
      <c r="D26" s="72">
        <f>C26/$C$20</f>
        <v>0.10437747167033541</v>
      </c>
      <c r="E26" s="51" t="n">
        <v>83644.87</v>
      </c>
      <c r="F26" s="32" t="inlineStr">
        <is>
          <t>יתרת זכות 359 ₪ + הפרשה 22,000 ₪</t>
        </is>
      </c>
    </row>
    <row r="27">
      <c r="A27" s="70" t="inlineStr">
        <is>
          <t>1220616</t>
        </is>
      </c>
      <c r="B27" s="71" t="inlineStr">
        <is>
          <t>חומרי אחזקה — חשמל</t>
        </is>
      </c>
      <c r="C27" s="51" t="n">
        <v>273364.37</v>
      </c>
      <c r="D27" s="72">
        <f>C27/$C$20</f>
        <v>0.04977258719314705</v>
      </c>
      <c r="E27" s="51" t="n">
        <v>18517.8</v>
      </c>
      <c r="F27" s="32" t="inlineStr"/>
    </row>
    <row r="28">
      <c r="A28" s="70" t="inlineStr">
        <is>
          <t>1221725</t>
        </is>
      </c>
      <c r="B28" s="71" t="inlineStr">
        <is>
          <t>עבודות אינסטלציה</t>
        </is>
      </c>
      <c r="C28" s="51" t="n">
        <v>114766.95</v>
      </c>
      <c r="D28" s="72">
        <f>C28/$C$20</f>
        <v>0.02089609566077155</v>
      </c>
      <c r="E28" s="51" t="n">
        <v>43700</v>
      </c>
      <c r="F28" s="32" t="inlineStr">
        <is>
          <t>38% מהסעיף נרשם ביוני — לבדוק היוון</t>
        </is>
      </c>
    </row>
    <row r="29">
      <c r="A29" s="70" t="inlineStr">
        <is>
          <t>1210208</t>
        </is>
      </c>
      <c r="B29" s="71" t="inlineStr">
        <is>
          <t>מחשוב ותוכנה</t>
        </is>
      </c>
      <c r="C29" s="51" t="n">
        <v>113276.3</v>
      </c>
      <c r="D29" s="72">
        <f>C29/$C$20</f>
        <v>0.020624686818794577</v>
      </c>
      <c r="E29" s="51" t="n">
        <v>15221.81</v>
      </c>
      <c r="F29" s="32" t="inlineStr"/>
    </row>
    <row r="30">
      <c r="A30" s="70" t="inlineStr">
        <is>
          <t>1220601</t>
        </is>
      </c>
      <c r="B30" s="71" t="inlineStr">
        <is>
          <t>חומרי ניקוי, נייר וריח</t>
        </is>
      </c>
      <c r="C30" s="51" t="n">
        <v>117788.84</v>
      </c>
      <c r="D30" s="72">
        <f>C30/$C$20</f>
        <v>0.0214463037347539</v>
      </c>
      <c r="E30" s="51" t="n">
        <v>12747.46</v>
      </c>
      <c r="F30" s="32" t="inlineStr">
        <is>
          <t>הפרשה 24,000 ₪ שרות ריח 5-6/2026</t>
        </is>
      </c>
    </row>
    <row r="31">
      <c r="A31" s="70" t="inlineStr">
        <is>
          <t>1221706</t>
        </is>
      </c>
      <c r="B31" s="71" t="inlineStr">
        <is>
          <t>מאגרי מים — ניקוי וחיטוי</t>
        </is>
      </c>
      <c r="C31" s="51" t="n">
        <v>75694.89999999999</v>
      </c>
      <c r="D31" s="72">
        <f>C31/$C$20</f>
        <v>0.013782085098824497</v>
      </c>
      <c r="E31" s="51" t="n">
        <v>23094.92</v>
      </c>
      <c r="F31" s="32" t="inlineStr">
        <is>
          <t>31% מהסעיף נרשם ביוני</t>
        </is>
      </c>
    </row>
    <row r="32">
      <c r="A32" s="70" t="inlineStr">
        <is>
          <t>1221712</t>
        </is>
      </c>
      <c r="B32" s="71" t="inlineStr">
        <is>
          <t>גנרטורים</t>
        </is>
      </c>
      <c r="C32" s="51" t="n">
        <v>25717.8</v>
      </c>
      <c r="D32" s="72">
        <f>C32/$C$20</f>
        <v>0.004682546752219088</v>
      </c>
      <c r="E32" s="51" t="n">
        <v>12800</v>
      </c>
      <c r="F32" s="32" t="inlineStr">
        <is>
          <t>50% מהסעיף נרשם ביוני</t>
        </is>
      </c>
    </row>
    <row r="33">
      <c r="A33" s="70" t="inlineStr">
        <is>
          <t>1222204</t>
        </is>
      </c>
      <c r="B33" s="71" t="inlineStr">
        <is>
          <t>מעליות — חלפים</t>
        </is>
      </c>
      <c r="C33" s="51" t="n">
        <v>22360.51</v>
      </c>
      <c r="D33" s="72">
        <f>C33/$C$20</f>
        <v>0.004071271006013829</v>
      </c>
      <c r="E33" s="51" t="n">
        <v>16949.15</v>
      </c>
      <c r="F33" s="32" t="inlineStr">
        <is>
          <t>76% מהסעיף נרשם ביוני</t>
        </is>
      </c>
    </row>
    <row r="34">
      <c r="A34" s="76" t="inlineStr">
        <is>
          <t>1221742</t>
        </is>
      </c>
      <c r="B34" s="71" t="inlineStr">
        <is>
          <t>עבודות חשמל</t>
        </is>
      </c>
      <c r="C34" s="77" t="n">
        <v>-1768</v>
      </c>
      <c r="D34" s="72">
        <f>C34/$C$20</f>
        <v>-0.00032190710939206883</v>
      </c>
      <c r="E34" s="51" t="n">
        <v>0</v>
      </c>
      <c r="F34" s="32" t="inlineStr">
        <is>
          <t>יתרת זכות בחשבון הוצאה — לבדוק</t>
        </is>
      </c>
    </row>
    <row r="36">
      <c r="B36" s="78" t="inlineStr">
        <is>
          <t>ניקיון (38.1%) ושכר (19.3%) יחד = 57% מסך ההוצאות.</t>
        </is>
      </c>
    </row>
  </sheetData>
  <mergeCells count="3">
    <mergeCell ref="A2:F2"/>
    <mergeCell ref="A1:F1"/>
    <mergeCell ref="B24:F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5" customWidth="1" min="3" max="3"/>
    <col width="26" customWidth="1" min="4" max="4"/>
    <col width="34" customWidth="1" min="5" max="5"/>
    <col width="26" customWidth="1" min="6" max="6"/>
  </cols>
  <sheetData>
    <row r="1" ht="24" customHeight="1">
      <c r="A1" s="1" t="inlineStr">
        <is>
          <t>שאלות פתוחות להנהלת החשבונות</t>
        </is>
      </c>
    </row>
    <row r="2">
      <c r="A2" s="2" t="inlineStr">
        <is>
          <t>לצביעת התשובות בעמודות הצהובות</t>
        </is>
      </c>
    </row>
    <row r="4" ht="30" customHeight="1">
      <c r="A4" s="7" t="inlineStr">
        <is>
          <t>#</t>
        </is>
      </c>
      <c r="B4" s="7" t="inlineStr">
        <is>
          <t>השאלה</t>
        </is>
      </c>
      <c r="C4" s="7" t="inlineStr">
        <is>
          <t>סכום (₪)</t>
        </is>
      </c>
      <c r="D4" s="7" t="inlineStr">
        <is>
          <t>עדיפות</t>
        </is>
      </c>
      <c r="E4" s="7" t="inlineStr">
        <is>
          <t>תשובה</t>
        </is>
      </c>
      <c r="F4" s="7" t="inlineStr">
        <is>
          <t>סטטוס</t>
        </is>
      </c>
    </row>
    <row r="5" ht="32" customHeight="1">
      <c r="A5" s="79" t="n">
        <v>1</v>
      </c>
      <c r="B5" s="11" t="inlineStr">
        <is>
          <t>מהו סכום הוצאות הביטוח של ויצמן מתוך פרומול שסומן כחסר בראש המאזן?</t>
        </is>
      </c>
      <c r="C5" s="80" t="inlineStr">
        <is>
          <t>—</t>
        </is>
      </c>
      <c r="D5" s="81" t="inlineStr">
        <is>
          <t>חוסם — לפני סגירת החציון</t>
        </is>
      </c>
      <c r="E5" s="82" t="n"/>
      <c r="F5" s="82" t="n"/>
    </row>
    <row r="6" ht="32" customHeight="1">
      <c r="A6" s="79" t="n">
        <v>2</v>
      </c>
      <c r="B6" s="11" t="inlineStr">
        <is>
          <t>האם תשלום מרץ 2026 בוצע? נדרשת אסמכתה.</t>
        </is>
      </c>
      <c r="C6" s="30" t="n">
        <v>221971.75</v>
      </c>
      <c r="D6" s="81" t="inlineStr">
        <is>
          <t>חוסם — לפני סגירת החציון</t>
        </is>
      </c>
      <c r="E6" s="82" t="n"/>
      <c r="F6" s="82" t="n"/>
    </row>
    <row r="7" ht="32" customHeight="1">
      <c r="A7" s="83" t="n">
        <v>3</v>
      </c>
      <c r="B7" s="18" t="inlineStr">
        <is>
          <t>איזה גיליון שכר קובע — 'ריכוז נתוני שכר' או 'שכר כולל תיקון'?</t>
        </is>
      </c>
      <c r="C7" s="30" t="n">
        <v>5564.08</v>
      </c>
      <c r="D7" s="84" t="inlineStr">
        <is>
          <t>גבוה</t>
        </is>
      </c>
      <c r="E7" s="82" t="n"/>
      <c r="F7" s="82" t="n"/>
    </row>
    <row r="8" ht="32" customHeight="1">
      <c r="A8" s="83" t="n">
        <v>4</v>
      </c>
      <c r="B8" s="18" t="inlineStr">
        <is>
          <t>מדוע סה"כ בן מאיר דורית השתנה ב‑5,564.08 ₪ מתיקון שאמור רק להזיז בין חודשים?</t>
        </is>
      </c>
      <c r="C8" s="30" t="n">
        <v>5564.08</v>
      </c>
      <c r="D8" s="84" t="inlineStr">
        <is>
          <t>גבוה</t>
        </is>
      </c>
      <c r="E8" s="82" t="n"/>
      <c r="F8" s="82" t="n"/>
    </row>
    <row r="9" ht="32" customHeight="1">
      <c r="A9" s="83" t="n">
        <v>5</v>
      </c>
      <c r="B9" s="18" t="inlineStr">
        <is>
          <t>הסבר לשלושת מספרי הכנסות יוני: 970,953.39 / 975,566.10 / 968,426.00</t>
        </is>
      </c>
      <c r="C9" s="30" t="n">
        <v>7140.1</v>
      </c>
      <c r="D9" s="84" t="inlineStr">
        <is>
          <t>גבוה</t>
        </is>
      </c>
      <c r="E9" s="82" t="n"/>
      <c r="F9" s="82" t="n"/>
    </row>
    <row r="10" ht="32" customHeight="1">
      <c r="A10" s="83" t="n">
        <v>6</v>
      </c>
      <c r="B10" s="18" t="inlineStr">
        <is>
          <t>האם ניתן להעביר את חשבון 1091007 מקבוצת ההכנסות לקבוצה מאזנית?</t>
        </is>
      </c>
      <c r="C10" s="30" t="n">
        <v>975566.1</v>
      </c>
      <c r="D10" s="84" t="inlineStr">
        <is>
          <t>גבוה — הצגתי</t>
        </is>
      </c>
      <c r="E10" s="82" t="n"/>
      <c r="F10" s="82" t="n"/>
    </row>
    <row r="11" ht="32" customHeight="1">
      <c r="A11" s="83" t="n">
        <v>7</v>
      </c>
      <c r="B11" s="18" t="inlineStr">
        <is>
          <t>התאמת הוצאות רכב: 112,604.61 בספרים מול 104,671.11 בגיליון</t>
        </is>
      </c>
      <c r="C11" s="30" t="n">
        <v>7933.5</v>
      </c>
      <c r="D11" s="85" t="inlineStr">
        <is>
          <t>בינוני</t>
        </is>
      </c>
      <c r="E11" s="82" t="n"/>
      <c r="F11" s="82" t="n"/>
    </row>
    <row r="12" ht="32" customHeight="1">
      <c r="A12" s="83" t="n">
        <v>8</v>
      </c>
      <c r="B12" s="18" t="inlineStr">
        <is>
          <t>לאן שייך הזיכוי של 2,218 ₪ שהותיר את חשבון 1221742 ביתרת זכות?</t>
        </is>
      </c>
      <c r="C12" s="30" t="n">
        <v>1768</v>
      </c>
      <c r="D12" s="85" t="inlineStr">
        <is>
          <t>בינוני</t>
        </is>
      </c>
      <c r="E12" s="82" t="n"/>
      <c r="F12" s="82" t="n"/>
    </row>
    <row r="13" ht="32" customHeight="1">
      <c r="A13" s="83" t="n">
        <v>9</v>
      </c>
      <c r="B13" s="18" t="inlineStr">
        <is>
          <t>המקדמה רשומה 14,497.43 ₪ אך הוזזו 11,964.08 ₪ — מה ההסבר?</t>
        </is>
      </c>
      <c r="C13" s="30" t="n">
        <v>2533.35</v>
      </c>
      <c r="D13" s="85" t="inlineStr">
        <is>
          <t>בינוני</t>
        </is>
      </c>
      <c r="E13" s="82" t="n"/>
      <c r="F13" s="82" t="n"/>
    </row>
    <row r="14" ht="32" customHeight="1">
      <c r="A14" s="83" t="n">
        <v>10</v>
      </c>
      <c r="B14" s="18" t="inlineStr">
        <is>
          <t>אישור נתון השכר של בן מאיר דורית במאי (זהה ליוני — 19,286.24)</t>
        </is>
      </c>
      <c r="C14" s="30" t="n">
        <v>19286.24</v>
      </c>
      <c r="D14" s="85" t="inlineStr">
        <is>
          <t>בינוני</t>
        </is>
      </c>
      <c r="E14" s="82" t="n"/>
      <c r="F14" s="82" t="n"/>
    </row>
    <row r="15" ht="32" customHeight="1">
      <c r="A15" s="83" t="n">
        <v>11</v>
      </c>
      <c r="B15" s="18" t="inlineStr">
        <is>
          <t>האם עבודות האינסטלציה (43,700 ₪ ביוני) הן הוצאה שוטפת או עבודות השבחה להיוון?</t>
        </is>
      </c>
      <c r="C15" s="30" t="n">
        <v>43700</v>
      </c>
      <c r="D15" s="85" t="inlineStr">
        <is>
          <t>בינוני</t>
        </is>
      </c>
      <c r="E15" s="82" t="n"/>
      <c r="F15" s="82" t="n"/>
    </row>
    <row r="16" ht="32" customHeight="1">
      <c r="A16" s="83" t="n">
        <v>12</v>
      </c>
      <c r="B16" s="18" t="inlineStr">
        <is>
          <t>נדרשים 8 הדפים החסרים של מאזן הבוחן (התקבל דף 1 מתוך 9 — צד ההכנסות וההוצאות בלבד)</t>
        </is>
      </c>
      <c r="C16" s="80" t="inlineStr">
        <is>
          <t>—</t>
        </is>
      </c>
      <c r="D16" s="84" t="inlineStr">
        <is>
          <t>גבוה</t>
        </is>
      </c>
      <c r="E16" s="82" t="n"/>
      <c r="F16" s="82" t="n"/>
    </row>
    <row r="17" ht="32" customHeight="1">
      <c r="A17" s="83" t="n">
        <v>13</v>
      </c>
      <c r="B17" s="18" t="inlineStr">
        <is>
          <t>נדרש דוח רווח והפסד ב‑6 עמודות חודשיות לזיהוי עונתיות וחד‑פעמיים</t>
        </is>
      </c>
      <c r="C17" s="80" t="inlineStr">
        <is>
          <t>—</t>
        </is>
      </c>
      <c r="D17" s="84" t="inlineStr">
        <is>
          <t>גבוה</t>
        </is>
      </c>
      <c r="E17" s="82" t="n"/>
      <c r="F17" s="82" t="n"/>
    </row>
    <row r="18" ht="32" customHeight="1">
      <c r="A18" s="83" t="n">
        <v>14</v>
      </c>
      <c r="B18" s="18" t="inlineStr">
        <is>
          <t>האם קיימת הפרשה לפיצויים? לא נראתה בדף שהתקבל.</t>
        </is>
      </c>
      <c r="C18" s="80" t="inlineStr">
        <is>
          <t>—</t>
        </is>
      </c>
      <c r="D18" s="85" t="inlineStr">
        <is>
          <t>בינוני</t>
        </is>
      </c>
      <c r="E18" s="82" t="n"/>
      <c r="F18" s="82" t="n"/>
    </row>
    <row r="19" ht="32" customHeight="1">
      <c r="A19" s="83" t="n">
        <v>15</v>
      </c>
      <c r="B19" s="18" t="inlineStr">
        <is>
          <t>שי לחגים 6,800 ₪ + שי ומתנות 800 ₪ — זקיפת שווי ומע"מ תשומות טופלו?</t>
        </is>
      </c>
      <c r="C19" s="30" t="n">
        <v>7600</v>
      </c>
      <c r="D19" s="85" t="inlineStr">
        <is>
          <t>נמוך</t>
        </is>
      </c>
      <c r="E19" s="82" t="n"/>
      <c r="F19" s="82" t="n"/>
    </row>
    <row r="21">
      <c r="B21" s="2" t="inlineStr">
        <is>
          <t>מקרא: התאים הצהובים מיועדים למילוי. עמודת 'סטטוס': פתוח / בטיפול / נסגר.</t>
        </is>
      </c>
    </row>
    <row r="22">
      <c r="B22" s="86" t="inlineStr">
        <is>
          <t>דוגמה: 1 | ... | 12,340.00 | חוסם | 'הסכום 12,340 ₪, יועבר בפקודה 4412' | נסגר</t>
        </is>
      </c>
    </row>
  </sheetData>
  <mergeCells count="4">
    <mergeCell ref="B21:F21"/>
    <mergeCell ref="A2:F2"/>
    <mergeCell ref="A1:F1"/>
    <mergeCell ref="B22:F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2026-08-20T08:21:52Z</dcterms:created>
  <dcterms:modified xsi:type="dcterms:W3CDTF">2026-08-20T08:21:52Z</dcterms:modified>
</cp:coreProperties>
</file>